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 users mina\marian\"/>
    </mc:Choice>
  </mc:AlternateContent>
  <xr:revisionPtr revIDLastSave="0" documentId="8_{480B30E1-DB7F-476A-BAA3-851963C4D2EB}" xr6:coauthVersionLast="47" xr6:coauthVersionMax="47" xr10:uidLastSave="{00000000-0000-0000-0000-000000000000}"/>
  <bookViews>
    <workbookView xWindow="-108" yWindow="-108" windowWidth="23256" windowHeight="12456" xr2:uid="{1F05986E-BD86-4A01-8E3F-54D1B2D8B6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" i="2"/>
</calcChain>
</file>

<file path=xl/sharedStrings.xml><?xml version="1.0" encoding="utf-8"?>
<sst xmlns="http://schemas.openxmlformats.org/spreadsheetml/2006/main" count="65" uniqueCount="21">
  <si>
    <t>التاريخ</t>
  </si>
  <si>
    <t>رقم الفاتورة</t>
  </si>
  <si>
    <t>المبلغ</t>
  </si>
  <si>
    <t>اسم العميل</t>
  </si>
  <si>
    <t>مؤسسة المجد للتجارة والتوريدات</t>
  </si>
  <si>
    <t>شركة الأفق للتجارة والتوريدات</t>
  </si>
  <si>
    <t>مؤسسة حسن علي للمواد الطبية</t>
  </si>
  <si>
    <t>مبيعات نقدية</t>
  </si>
  <si>
    <t>شركة نبض الحياة للتوريدات</t>
  </si>
  <si>
    <t>مؤسسة النجمة للتجارة</t>
  </si>
  <si>
    <t>D001</t>
  </si>
  <si>
    <t>مبيعات نقدية - فرع الدمام</t>
  </si>
  <si>
    <t>D002</t>
  </si>
  <si>
    <t>D003</t>
  </si>
  <si>
    <t>65,000.00 🔸</t>
  </si>
  <si>
    <t>70,500.00 🔸</t>
  </si>
  <si>
    <t>16 🔸</t>
  </si>
  <si>
    <t>74,500.00 🔸</t>
  </si>
  <si>
    <t>88,000.00 🔸</t>
  </si>
  <si>
    <t>97,500.00 🔸</t>
  </si>
  <si>
    <t>25 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</si>
</sst>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0" fontId="1" fillId="0" borderId="0" xfId="0" applyFont="1"/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1" fillId="0" borderId="0" xfId="0" applyNumberFormat="1" applyFont="1"/>
    <xf numFmtId="14" fontId="2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9875-96D2-4F29-AD7E-7F0C5A4525B4}">
  <dimension ref="A1:F26"/>
  <sheetViews>
    <sheetView rightToLeft="1" tabSelected="1" workbookViewId="0">
      <selection activeCell="E1" sqref="E1"/>
    </sheetView>
  </sheetViews>
  <sheetFormatPr defaultRowHeight="14.4" x14ac:dyDescent="0.3"/>
  <cols>
    <col min="1" max="1" width="11.21875" bestFit="1" customWidth="1"/>
    <col min="2" max="2" width="10.5546875" bestFit="1" customWidth="1"/>
    <col min="3" max="3" width="11" bestFit="1" customWidth="1"/>
    <col min="4" max="4" width="25.21875" bestFit="1" customWidth="1"/>
    <col min="5" max="5" width="9" bestFit="1" customWidth="1"/>
    <col min="6" max="6" width="8.77734375" bestFit="1" customWidth="1"/>
  </cols>
  <sheetData>
    <row r="1" spans="1:6" ht="18" x14ac:dyDescent="0.35">
      <c r="A1" s="6" t="s">
        <v>0</v>
      </c>
      <c r="B1" s="6" t="s">
        <v>1</v>
      </c>
      <c r="C1" s="6" t="s">
        <v>2</v>
      </c>
      <c r="D1" s="6" t="s">
        <v>3</v>
      </c>
    </row>
    <row r="2" spans="1:6" ht="15.6" x14ac:dyDescent="0.3">
      <c r="A2" s="3">
        <v>44780</v>
      </c>
      <c r="B2" s="4">
        <v>1</v>
      </c>
      <c r="C2" s="5">
        <v>38651.5</v>
      </c>
      <c r="D2" s="4" t="s">
        <v>4</v>
      </c>
      <c r="E2">
        <f>VLOOKUP(B2,Sheet2!$B$2:$D$23,2,FALSE)</f>
        <v>38651.5</v>
      </c>
      <c r="F2" s="1">
        <f>C2-E2</f>
        <v>0</v>
      </c>
    </row>
    <row r="3" spans="1:6" ht="15.6" x14ac:dyDescent="0.3">
      <c r="A3" s="3">
        <v>44788</v>
      </c>
      <c r="B3" s="4">
        <v>2</v>
      </c>
      <c r="C3" s="5">
        <v>64802.5</v>
      </c>
      <c r="D3" s="4" t="s">
        <v>5</v>
      </c>
      <c r="E3" s="2" t="str">
        <f>VLOOKUP(B3,Sheet2!$B$2:$D$23,2,FALSE)</f>
        <v>65,000.00 🔸</v>
      </c>
      <c r="F3" s="7" t="e">
        <f t="shared" ref="F3:F25" si="0">C3-E3</f>
        <v>#VALUE!</v>
      </c>
    </row>
    <row r="4" spans="1:6" ht="15.6" x14ac:dyDescent="0.3">
      <c r="A4" s="3">
        <v>44795</v>
      </c>
      <c r="B4" s="4">
        <v>3</v>
      </c>
      <c r="C4" s="5">
        <v>102902</v>
      </c>
      <c r="D4" s="4" t="s">
        <v>6</v>
      </c>
      <c r="E4" s="2">
        <f>VLOOKUP(B4,Sheet2!$B$2:$D$23,2,FALSE)</f>
        <v>102902</v>
      </c>
      <c r="F4" s="7">
        <f t="shared" si="0"/>
        <v>0</v>
      </c>
    </row>
    <row r="5" spans="1:6" ht="15.6" x14ac:dyDescent="0.3">
      <c r="A5" s="3">
        <v>44804</v>
      </c>
      <c r="B5" s="4">
        <v>4</v>
      </c>
      <c r="C5" s="5">
        <v>70006.25</v>
      </c>
      <c r="D5" s="4" t="s">
        <v>7</v>
      </c>
      <c r="E5" s="2" t="str">
        <f>VLOOKUP(B5,Sheet2!$B$2:$D$23,2,FALSE)</f>
        <v>70,500.00 🔸</v>
      </c>
      <c r="F5" s="7" t="e">
        <f t="shared" si="0"/>
        <v>#VALUE!</v>
      </c>
    </row>
    <row r="6" spans="1:6" ht="15.6" x14ac:dyDescent="0.3">
      <c r="A6" s="3">
        <v>44807</v>
      </c>
      <c r="B6" s="4">
        <v>1001</v>
      </c>
      <c r="C6" s="5">
        <v>-10120</v>
      </c>
      <c r="D6" s="4" t="s">
        <v>6</v>
      </c>
      <c r="E6" s="2">
        <f>VLOOKUP(B6,Sheet2!$B$2:$D$23,2,FALSE)</f>
        <v>-10120</v>
      </c>
      <c r="F6" s="7">
        <f t="shared" si="0"/>
        <v>0</v>
      </c>
    </row>
    <row r="7" spans="1:6" ht="15.6" x14ac:dyDescent="0.3">
      <c r="A7" s="3">
        <v>44811</v>
      </c>
      <c r="B7" s="4">
        <v>5</v>
      </c>
      <c r="C7" s="5">
        <v>104351</v>
      </c>
      <c r="D7" s="4" t="s">
        <v>4</v>
      </c>
      <c r="E7" s="2">
        <f>VLOOKUP(B7,Sheet2!$B$2:$D$23,2,FALSE)</f>
        <v>104351</v>
      </c>
      <c r="F7" s="7">
        <f t="shared" si="0"/>
        <v>0</v>
      </c>
    </row>
    <row r="8" spans="1:6" ht="15.6" x14ac:dyDescent="0.3">
      <c r="A8" s="3">
        <v>44819</v>
      </c>
      <c r="B8" s="4">
        <v>6</v>
      </c>
      <c r="C8" s="5">
        <v>89751.75</v>
      </c>
      <c r="D8" s="4" t="s">
        <v>5</v>
      </c>
      <c r="E8" s="2" t="e">
        <f>VLOOKUP(B8,Sheet2!$B$2:$D$23,2,FALSE)</f>
        <v>#N/A</v>
      </c>
      <c r="F8" s="7" t="e">
        <f t="shared" si="0"/>
        <v>#N/A</v>
      </c>
    </row>
    <row r="9" spans="1:6" ht="15.6" x14ac:dyDescent="0.3">
      <c r="A9" s="3">
        <v>44826</v>
      </c>
      <c r="B9" s="4">
        <v>7</v>
      </c>
      <c r="C9" s="5">
        <v>74106</v>
      </c>
      <c r="D9" s="4" t="s">
        <v>8</v>
      </c>
      <c r="E9" s="2" t="str">
        <f>VLOOKUP(B9,Sheet2!$B$2:$D$23,2,FALSE)</f>
        <v>74,500.00 🔸</v>
      </c>
      <c r="F9" s="7" t="e">
        <f t="shared" si="0"/>
        <v>#VALUE!</v>
      </c>
    </row>
    <row r="10" spans="1:6" ht="15.6" x14ac:dyDescent="0.3">
      <c r="A10" s="3">
        <v>44834</v>
      </c>
      <c r="B10" s="4">
        <v>8</v>
      </c>
      <c r="C10" s="5">
        <v>75900</v>
      </c>
      <c r="D10" s="4" t="s">
        <v>7</v>
      </c>
      <c r="E10" s="2">
        <f>VLOOKUP(B10,Sheet2!$B$2:$D$23,2,FALSE)</f>
        <v>75900</v>
      </c>
      <c r="F10" s="7">
        <f t="shared" si="0"/>
        <v>0</v>
      </c>
    </row>
    <row r="11" spans="1:6" ht="15.6" x14ac:dyDescent="0.3">
      <c r="A11" s="3">
        <v>44841</v>
      </c>
      <c r="B11" s="4">
        <v>9</v>
      </c>
      <c r="C11" s="5">
        <v>107036.25</v>
      </c>
      <c r="D11" s="4" t="s">
        <v>4</v>
      </c>
      <c r="E11" s="2">
        <f>VLOOKUP(B11,Sheet2!$B$2:$D$23,2,FALSE)</f>
        <v>107036.25</v>
      </c>
      <c r="F11" s="7">
        <f t="shared" si="0"/>
        <v>0</v>
      </c>
    </row>
    <row r="12" spans="1:6" ht="15.6" x14ac:dyDescent="0.3">
      <c r="A12" s="3">
        <v>44849</v>
      </c>
      <c r="B12" s="4">
        <v>10</v>
      </c>
      <c r="C12" s="5">
        <v>87227.5</v>
      </c>
      <c r="D12" s="4" t="s">
        <v>5</v>
      </c>
      <c r="E12" s="2" t="str">
        <f>VLOOKUP(B12,Sheet2!$B$2:$D$23,2,FALSE)</f>
        <v>88,000.00 🔸</v>
      </c>
      <c r="F12" s="7" t="e">
        <f t="shared" si="0"/>
        <v>#VALUE!</v>
      </c>
    </row>
    <row r="13" spans="1:6" ht="15.6" x14ac:dyDescent="0.3">
      <c r="A13" s="3">
        <v>44856</v>
      </c>
      <c r="B13" s="4">
        <v>11</v>
      </c>
      <c r="C13" s="5">
        <v>91977</v>
      </c>
      <c r="D13" s="4" t="s">
        <v>9</v>
      </c>
      <c r="E13" s="2">
        <f>VLOOKUP(B13,Sheet2!$B$2:$D$23,2,FALSE)</f>
        <v>91977</v>
      </c>
      <c r="F13" s="7">
        <f t="shared" si="0"/>
        <v>0</v>
      </c>
    </row>
    <row r="14" spans="1:6" ht="15.6" x14ac:dyDescent="0.3">
      <c r="A14" s="3">
        <v>44865</v>
      </c>
      <c r="B14" s="4">
        <v>12</v>
      </c>
      <c r="C14" s="5">
        <v>96979.5</v>
      </c>
      <c r="D14" s="4" t="s">
        <v>7</v>
      </c>
      <c r="E14" s="2" t="str">
        <f>VLOOKUP(B14,Sheet2!$B$2:$D$23,2,FALSE)</f>
        <v>97,500.00 🔸</v>
      </c>
      <c r="F14" s="7" t="e">
        <f t="shared" si="0"/>
        <v>#VALUE!</v>
      </c>
    </row>
    <row r="15" spans="1:6" ht="15.6" x14ac:dyDescent="0.3">
      <c r="A15" s="3">
        <v>44865</v>
      </c>
      <c r="B15" s="4" t="s">
        <v>10</v>
      </c>
      <c r="C15" s="5">
        <v>42504</v>
      </c>
      <c r="D15" s="4" t="s">
        <v>11</v>
      </c>
      <c r="E15" s="2">
        <f>VLOOKUP(B15,Sheet2!$B$2:$D$23,2,FALSE)</f>
        <v>42504</v>
      </c>
      <c r="F15" s="7">
        <f t="shared" si="0"/>
        <v>0</v>
      </c>
    </row>
    <row r="16" spans="1:6" ht="15.6" x14ac:dyDescent="0.3">
      <c r="A16" s="3">
        <v>44872</v>
      </c>
      <c r="B16" s="4">
        <v>13</v>
      </c>
      <c r="C16" s="5">
        <v>93121.25</v>
      </c>
      <c r="D16" s="4" t="s">
        <v>8</v>
      </c>
      <c r="E16" s="2">
        <f>VLOOKUP(B16,Sheet2!$B$2:$D$23,2,FALSE)</f>
        <v>93121.25</v>
      </c>
      <c r="F16" s="7">
        <f t="shared" si="0"/>
        <v>0</v>
      </c>
    </row>
    <row r="17" spans="1:6" ht="15.6" x14ac:dyDescent="0.3">
      <c r="A17" s="3">
        <v>44880</v>
      </c>
      <c r="B17" s="4">
        <v>14</v>
      </c>
      <c r="C17" s="5">
        <v>96617.25</v>
      </c>
      <c r="D17" s="4" t="s">
        <v>9</v>
      </c>
      <c r="E17" s="2">
        <f>VLOOKUP(B17,Sheet2!$B$2:$D$23,2,FALSE)</f>
        <v>96617.25</v>
      </c>
      <c r="F17" s="7">
        <f t="shared" si="0"/>
        <v>0</v>
      </c>
    </row>
    <row r="18" spans="1:6" ht="15.6" x14ac:dyDescent="0.3">
      <c r="A18" s="3">
        <v>44887</v>
      </c>
      <c r="B18" s="4">
        <v>15</v>
      </c>
      <c r="C18" s="5">
        <v>95300.5</v>
      </c>
      <c r="D18" s="4" t="s">
        <v>6</v>
      </c>
      <c r="E18" s="2" t="e">
        <f>VLOOKUP(B18,Sheet2!$B$2:$D$23,2,FALSE)</f>
        <v>#N/A</v>
      </c>
      <c r="F18" s="7" t="e">
        <f t="shared" si="0"/>
        <v>#N/A</v>
      </c>
    </row>
    <row r="19" spans="1:6" ht="15.6" x14ac:dyDescent="0.3">
      <c r="A19" s="3">
        <v>44895</v>
      </c>
      <c r="B19" s="4">
        <v>16</v>
      </c>
      <c r="C19" s="5">
        <v>96151.5</v>
      </c>
      <c r="D19" s="4" t="s">
        <v>7</v>
      </c>
      <c r="E19" s="2">
        <f>VLOOKUP(B19,Sheet2!$B$2:$D$23,2,FALSE)</f>
        <v>96151.5</v>
      </c>
      <c r="F19" s="7">
        <f t="shared" si="0"/>
        <v>0</v>
      </c>
    </row>
    <row r="20" spans="1:6" ht="15.6" x14ac:dyDescent="0.3">
      <c r="A20" s="3">
        <v>44895</v>
      </c>
      <c r="B20" s="4" t="s">
        <v>12</v>
      </c>
      <c r="C20" s="5">
        <v>82662</v>
      </c>
      <c r="D20" s="4" t="s">
        <v>11</v>
      </c>
      <c r="E20" s="2">
        <f>VLOOKUP(B20,Sheet2!$B$2:$D$23,2,FALSE)</f>
        <v>83000</v>
      </c>
      <c r="F20" s="7">
        <f t="shared" si="0"/>
        <v>-338</v>
      </c>
    </row>
    <row r="21" spans="1:6" ht="15.6" x14ac:dyDescent="0.3">
      <c r="A21" s="3">
        <v>44902</v>
      </c>
      <c r="B21" s="4">
        <v>17</v>
      </c>
      <c r="C21" s="5">
        <v>102321.25</v>
      </c>
      <c r="D21" s="4" t="s">
        <v>8</v>
      </c>
      <c r="E21" s="2" t="e">
        <f>VLOOKUP(B21,Sheet2!$B$2:$D$23,2,FALSE)</f>
        <v>#N/A</v>
      </c>
      <c r="F21" s="7" t="e">
        <f t="shared" si="0"/>
        <v>#N/A</v>
      </c>
    </row>
    <row r="22" spans="1:6" ht="15.6" x14ac:dyDescent="0.3">
      <c r="A22" s="3">
        <v>44910</v>
      </c>
      <c r="B22" s="4">
        <v>18</v>
      </c>
      <c r="C22" s="5">
        <v>96617.25</v>
      </c>
      <c r="D22" s="4" t="s">
        <v>9</v>
      </c>
      <c r="E22" s="2" t="e">
        <f>VLOOKUP(B22,Sheet2!$B$2:$D$23,2,FALSE)</f>
        <v>#N/A</v>
      </c>
      <c r="F22" s="7" t="e">
        <f t="shared" si="0"/>
        <v>#N/A</v>
      </c>
    </row>
    <row r="23" spans="1:6" ht="15.6" x14ac:dyDescent="0.3">
      <c r="A23" s="3">
        <v>44918</v>
      </c>
      <c r="B23" s="4">
        <v>19</v>
      </c>
      <c r="C23" s="5">
        <v>92897</v>
      </c>
      <c r="D23" s="4" t="s">
        <v>6</v>
      </c>
      <c r="E23" s="2" t="e">
        <f>VLOOKUP(B23,Sheet2!$B$2:$D$23,2,FALSE)</f>
        <v>#N/A</v>
      </c>
      <c r="F23" s="7" t="e">
        <f t="shared" si="0"/>
        <v>#N/A</v>
      </c>
    </row>
    <row r="24" spans="1:6" ht="15.6" x14ac:dyDescent="0.3">
      <c r="A24" s="3">
        <v>44926</v>
      </c>
      <c r="B24" s="4">
        <v>20</v>
      </c>
      <c r="C24" s="5">
        <v>97761.5</v>
      </c>
      <c r="D24" s="4" t="s">
        <v>7</v>
      </c>
      <c r="E24" s="2" t="e">
        <f>VLOOKUP(B24,Sheet2!$B$2:$D$23,2,FALSE)</f>
        <v>#N/A</v>
      </c>
      <c r="F24" s="7" t="e">
        <f t="shared" si="0"/>
        <v>#N/A</v>
      </c>
    </row>
    <row r="25" spans="1:6" ht="15.6" x14ac:dyDescent="0.3">
      <c r="A25" s="3">
        <v>44926</v>
      </c>
      <c r="B25" s="4" t="s">
        <v>13</v>
      </c>
      <c r="C25" s="5">
        <v>100429.5</v>
      </c>
      <c r="D25" s="4" t="s">
        <v>11</v>
      </c>
      <c r="E25" s="2" t="e">
        <f>VLOOKUP(B25,Sheet2!$B$2:$D$23,2,FALSE)</f>
        <v>#N/A</v>
      </c>
      <c r="F25" s="7" t="e">
        <f t="shared" si="0"/>
        <v>#N/A</v>
      </c>
    </row>
    <row r="26" spans="1:6" ht="15.6" x14ac:dyDescent="0.3">
      <c r="A26" s="2"/>
      <c r="B26" s="2"/>
      <c r="C26" s="2"/>
      <c r="D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9D0B-EAF8-4DCE-9746-2A5E17AEC83F}">
  <dimension ref="A1:F23"/>
  <sheetViews>
    <sheetView rightToLeft="1" workbookViewId="0">
      <selection activeCell="M7" sqref="M7"/>
    </sheetView>
  </sheetViews>
  <sheetFormatPr defaultRowHeight="14.4" x14ac:dyDescent="0.3"/>
  <cols>
    <col min="1" max="1" width="11.21875" bestFit="1" customWidth="1"/>
    <col min="2" max="2" width="10.77734375" bestFit="1" customWidth="1"/>
    <col min="3" max="3" width="13.44140625" bestFit="1" customWidth="1"/>
    <col min="4" max="4" width="25.21875" bestFit="1" customWidth="1"/>
    <col min="5" max="5" width="10.109375" bestFit="1" customWidth="1"/>
    <col min="6" max="6" width="8.77734375" bestFit="1" customWidth="1"/>
  </cols>
  <sheetData>
    <row r="1" spans="1:6" ht="18" x14ac:dyDescent="0.35">
      <c r="A1" s="8" t="s">
        <v>0</v>
      </c>
      <c r="B1" s="6" t="s">
        <v>1</v>
      </c>
      <c r="C1" s="9" t="s">
        <v>2</v>
      </c>
      <c r="D1" s="6" t="s">
        <v>3</v>
      </c>
    </row>
    <row r="2" spans="1:6" ht="15.6" x14ac:dyDescent="0.3">
      <c r="A2" s="3">
        <v>44780</v>
      </c>
      <c r="B2" s="4">
        <v>1</v>
      </c>
      <c r="C2" s="5">
        <v>38651.5</v>
      </c>
      <c r="D2" s="4" t="s">
        <v>4</v>
      </c>
      <c r="E2" s="2">
        <f>VLOOKUP(B2,Sheet1!$B$2:$D$25,2,FALSE)</f>
        <v>38651.5</v>
      </c>
      <c r="F2" s="7">
        <f>C2-E2</f>
        <v>0</v>
      </c>
    </row>
    <row r="3" spans="1:6" ht="15.6" x14ac:dyDescent="0.3">
      <c r="A3" s="3">
        <v>44788</v>
      </c>
      <c r="B3" s="4">
        <v>2</v>
      </c>
      <c r="C3" s="5" t="s">
        <v>14</v>
      </c>
      <c r="D3" s="4" t="s">
        <v>5</v>
      </c>
      <c r="E3" s="2">
        <f>VLOOKUP(B3,Sheet1!$B$2:$D$25,2,FALSE)</f>
        <v>64802.5</v>
      </c>
      <c r="F3" s="7" t="e">
        <f t="shared" ref="F3:F23" si="0">C3-E3</f>
        <v>#VALUE!</v>
      </c>
    </row>
    <row r="4" spans="1:6" ht="15.6" x14ac:dyDescent="0.3">
      <c r="A4" s="3">
        <v>44795</v>
      </c>
      <c r="B4" s="4">
        <v>3</v>
      </c>
      <c r="C4" s="5">
        <v>102902</v>
      </c>
      <c r="D4" s="4" t="s">
        <v>6</v>
      </c>
      <c r="E4" s="2">
        <f>VLOOKUP(B4,Sheet1!$B$2:$D$25,2,FALSE)</f>
        <v>102902</v>
      </c>
      <c r="F4" s="7">
        <f t="shared" si="0"/>
        <v>0</v>
      </c>
    </row>
    <row r="5" spans="1:6" ht="15.6" x14ac:dyDescent="0.3">
      <c r="A5" s="3">
        <v>44804</v>
      </c>
      <c r="B5" s="4">
        <v>4</v>
      </c>
      <c r="C5" s="5" t="s">
        <v>15</v>
      </c>
      <c r="D5" s="4" t="s">
        <v>7</v>
      </c>
      <c r="E5" s="2">
        <f>VLOOKUP(B5,Sheet1!$B$2:$D$25,2,FALSE)</f>
        <v>70006.25</v>
      </c>
      <c r="F5" s="7" t="e">
        <f t="shared" si="0"/>
        <v>#VALUE!</v>
      </c>
    </row>
    <row r="6" spans="1:6" ht="15.6" x14ac:dyDescent="0.3">
      <c r="A6" s="3">
        <v>44807</v>
      </c>
      <c r="B6" s="4">
        <v>1001</v>
      </c>
      <c r="C6" s="5">
        <v>-10120</v>
      </c>
      <c r="D6" s="4" t="s">
        <v>6</v>
      </c>
      <c r="E6" s="2">
        <f>VLOOKUP(B6,Sheet1!$B$2:$D$25,2,FALSE)</f>
        <v>-10120</v>
      </c>
      <c r="F6" s="7">
        <f t="shared" si="0"/>
        <v>0</v>
      </c>
    </row>
    <row r="7" spans="1:6" ht="15.6" x14ac:dyDescent="0.3">
      <c r="A7" s="3">
        <v>44811</v>
      </c>
      <c r="B7" s="4">
        <v>5</v>
      </c>
      <c r="C7" s="5">
        <v>104351</v>
      </c>
      <c r="D7" s="4" t="s">
        <v>4</v>
      </c>
      <c r="E7" s="2">
        <f>VLOOKUP(B7,Sheet1!$B$2:$D$25,2,FALSE)</f>
        <v>104351</v>
      </c>
      <c r="F7" s="7">
        <f t="shared" si="0"/>
        <v>0</v>
      </c>
    </row>
    <row r="8" spans="1:6" ht="15.6" x14ac:dyDescent="0.3">
      <c r="A8" s="3">
        <v>44819</v>
      </c>
      <c r="B8" s="4" t="s">
        <v>16</v>
      </c>
      <c r="C8" s="5">
        <v>89751.75</v>
      </c>
      <c r="D8" s="4" t="s">
        <v>5</v>
      </c>
      <c r="E8" s="2" t="e">
        <f>VLOOKUP(B8,Sheet1!$B$2:$D$25,2,FALSE)</f>
        <v>#N/A</v>
      </c>
      <c r="F8" s="7" t="e">
        <f t="shared" si="0"/>
        <v>#N/A</v>
      </c>
    </row>
    <row r="9" spans="1:6" ht="15.6" x14ac:dyDescent="0.3">
      <c r="A9" s="3">
        <v>44826</v>
      </c>
      <c r="B9" s="4">
        <v>7</v>
      </c>
      <c r="C9" s="5" t="s">
        <v>17</v>
      </c>
      <c r="D9" s="4" t="s">
        <v>8</v>
      </c>
      <c r="E9" s="2">
        <f>VLOOKUP(B9,Sheet1!$B$2:$D$25,2,FALSE)</f>
        <v>74106</v>
      </c>
      <c r="F9" s="7" t="e">
        <f t="shared" si="0"/>
        <v>#VALUE!</v>
      </c>
    </row>
    <row r="10" spans="1:6" ht="15.6" x14ac:dyDescent="0.3">
      <c r="A10" s="3">
        <v>44834</v>
      </c>
      <c r="B10" s="4">
        <v>8</v>
      </c>
      <c r="C10" s="5">
        <v>75900</v>
      </c>
      <c r="D10" s="4" t="s">
        <v>7</v>
      </c>
      <c r="E10" s="2">
        <f>VLOOKUP(B10,Sheet1!$B$2:$D$25,2,FALSE)</f>
        <v>75900</v>
      </c>
      <c r="F10" s="7">
        <f t="shared" si="0"/>
        <v>0</v>
      </c>
    </row>
    <row r="11" spans="1:6" ht="15.6" x14ac:dyDescent="0.3">
      <c r="A11" s="3">
        <v>44841</v>
      </c>
      <c r="B11" s="4">
        <v>9</v>
      </c>
      <c r="C11" s="5">
        <v>107036.25</v>
      </c>
      <c r="D11" s="4" t="s">
        <v>4</v>
      </c>
      <c r="E11" s="2">
        <f>VLOOKUP(B11,Sheet1!$B$2:$D$25,2,FALSE)</f>
        <v>107036.25</v>
      </c>
      <c r="F11" s="7">
        <f t="shared" si="0"/>
        <v>0</v>
      </c>
    </row>
    <row r="12" spans="1:6" ht="15.6" x14ac:dyDescent="0.3">
      <c r="A12" s="3">
        <v>44849</v>
      </c>
      <c r="B12" s="4">
        <v>10</v>
      </c>
      <c r="C12" s="5" t="s">
        <v>18</v>
      </c>
      <c r="D12" s="4" t="s">
        <v>5</v>
      </c>
      <c r="E12" s="2">
        <f>VLOOKUP(B12,Sheet1!$B$2:$D$25,2,FALSE)</f>
        <v>87227.5</v>
      </c>
      <c r="F12" s="7" t="e">
        <f t="shared" si="0"/>
        <v>#VALUE!</v>
      </c>
    </row>
    <row r="13" spans="1:6" ht="15.6" x14ac:dyDescent="0.3">
      <c r="A13" s="3">
        <v>44856</v>
      </c>
      <c r="B13" s="4">
        <v>11</v>
      </c>
      <c r="C13" s="5">
        <v>91977</v>
      </c>
      <c r="D13" s="4" t="s">
        <v>9</v>
      </c>
      <c r="E13" s="2">
        <f>VLOOKUP(B13,Sheet1!$B$2:$D$25,2,FALSE)</f>
        <v>91977</v>
      </c>
      <c r="F13" s="7">
        <f t="shared" si="0"/>
        <v>0</v>
      </c>
    </row>
    <row r="14" spans="1:6" ht="15.6" x14ac:dyDescent="0.3">
      <c r="A14" s="3">
        <v>44865</v>
      </c>
      <c r="B14" s="4">
        <v>12</v>
      </c>
      <c r="C14" s="5" t="s">
        <v>19</v>
      </c>
      <c r="D14" s="4" t="s">
        <v>7</v>
      </c>
      <c r="E14" s="2">
        <f>VLOOKUP(B14,Sheet1!$B$2:$D$25,2,FALSE)</f>
        <v>96979.5</v>
      </c>
      <c r="F14" s="7" t="e">
        <f t="shared" si="0"/>
        <v>#VALUE!</v>
      </c>
    </row>
    <row r="15" spans="1:6" ht="15.6" x14ac:dyDescent="0.3">
      <c r="A15" s="3">
        <v>44865</v>
      </c>
      <c r="B15" s="4" t="s">
        <v>10</v>
      </c>
      <c r="C15" s="5">
        <v>42504</v>
      </c>
      <c r="D15" s="4" t="s">
        <v>11</v>
      </c>
      <c r="E15" s="2">
        <f>VLOOKUP(B15,Sheet1!$B$2:$D$25,2,FALSE)</f>
        <v>42504</v>
      </c>
      <c r="F15" s="7">
        <f t="shared" si="0"/>
        <v>0</v>
      </c>
    </row>
    <row r="16" spans="1:6" ht="15.6" x14ac:dyDescent="0.3">
      <c r="A16" s="3">
        <v>44872</v>
      </c>
      <c r="B16" s="4">
        <v>13</v>
      </c>
      <c r="C16" s="5">
        <v>93121.25</v>
      </c>
      <c r="D16" s="4" t="s">
        <v>8</v>
      </c>
      <c r="E16" s="2">
        <f>VLOOKUP(B16,Sheet1!$B$2:$D$25,2,FALSE)</f>
        <v>93121.25</v>
      </c>
      <c r="F16" s="7">
        <f t="shared" si="0"/>
        <v>0</v>
      </c>
    </row>
    <row r="17" spans="1:6" ht="15.6" x14ac:dyDescent="0.3">
      <c r="A17" s="3">
        <v>44880</v>
      </c>
      <c r="B17" s="4">
        <v>14</v>
      </c>
      <c r="C17" s="5">
        <v>96617.25</v>
      </c>
      <c r="D17" s="4" t="s">
        <v>9</v>
      </c>
      <c r="E17" s="2">
        <f>VLOOKUP(B17,Sheet1!$B$2:$D$25,2,FALSE)</f>
        <v>96617.25</v>
      </c>
      <c r="F17" s="7">
        <f t="shared" si="0"/>
        <v>0</v>
      </c>
    </row>
    <row r="18" spans="1:6" ht="15.6" x14ac:dyDescent="0.3">
      <c r="A18" s="3">
        <v>44887</v>
      </c>
      <c r="B18" s="4" t="s">
        <v>20</v>
      </c>
      <c r="C18" s="5">
        <v>95300.5</v>
      </c>
      <c r="D18" s="4" t="s">
        <v>6</v>
      </c>
      <c r="E18" s="2" t="e">
        <f>VLOOKUP(B18,Sheet1!$B$2:$D$25,2,FALSE)</f>
        <v>#N/A</v>
      </c>
      <c r="F18" s="7" t="e">
        <f t="shared" si="0"/>
        <v>#N/A</v>
      </c>
    </row>
    <row r="19" spans="1:6" ht="15.6" x14ac:dyDescent="0.3">
      <c r="A19" s="3">
        <v>44895</v>
      </c>
      <c r="B19" s="4">
        <v>16</v>
      </c>
      <c r="C19" s="5">
        <v>96151.5</v>
      </c>
      <c r="D19" s="4" t="s">
        <v>7</v>
      </c>
      <c r="E19" s="2">
        <f>VLOOKUP(B19,Sheet1!$B$2:$D$25,2,FALSE)</f>
        <v>96151.5</v>
      </c>
      <c r="F19" s="7">
        <f t="shared" si="0"/>
        <v>0</v>
      </c>
    </row>
    <row r="20" spans="1:6" ht="15.6" x14ac:dyDescent="0.3">
      <c r="A20" s="3">
        <v>44895</v>
      </c>
      <c r="B20" s="4" t="s">
        <v>12</v>
      </c>
      <c r="C20" s="5">
        <v>83000</v>
      </c>
      <c r="D20" s="4"/>
      <c r="E20" s="2">
        <f>VLOOKUP(B20,Sheet1!$B$2:$D$25,2,FALSE)</f>
        <v>82662</v>
      </c>
      <c r="F20" s="7">
        <f t="shared" si="0"/>
        <v>338</v>
      </c>
    </row>
    <row r="21" spans="1:6" ht="15.6" x14ac:dyDescent="0.3">
      <c r="A21" s="3">
        <v>44910</v>
      </c>
      <c r="B21" s="4">
        <v>118</v>
      </c>
      <c r="C21" s="5">
        <v>98100</v>
      </c>
      <c r="D21" s="4" t="s">
        <v>9</v>
      </c>
      <c r="E21" s="2" t="e">
        <f>VLOOKUP(B21,Sheet1!$B$2:$D$25,2,FALSE)</f>
        <v>#N/A</v>
      </c>
      <c r="F21" s="7" t="e">
        <f t="shared" si="0"/>
        <v>#N/A</v>
      </c>
    </row>
    <row r="22" spans="1:6" ht="15.6" x14ac:dyDescent="0.3">
      <c r="A22" s="3">
        <v>44918</v>
      </c>
      <c r="B22" s="4">
        <v>119</v>
      </c>
      <c r="C22" s="5">
        <v>94750</v>
      </c>
      <c r="D22" s="4" t="s">
        <v>6</v>
      </c>
      <c r="E22" s="2" t="e">
        <f>VLOOKUP(B22,Sheet1!$B$2:$D$25,2,FALSE)</f>
        <v>#N/A</v>
      </c>
      <c r="F22" s="7" t="e">
        <f t="shared" si="0"/>
        <v>#N/A</v>
      </c>
    </row>
    <row r="23" spans="1:6" ht="15.6" x14ac:dyDescent="0.3">
      <c r="A23" s="3">
        <v>44926</v>
      </c>
      <c r="B23" s="4">
        <v>120</v>
      </c>
      <c r="C23" s="5">
        <v>99300</v>
      </c>
      <c r="D23" s="4" t="s">
        <v>7</v>
      </c>
      <c r="E23" s="2" t="e">
        <f>VLOOKUP(B23,Sheet1!$B$2:$D$25,2,FALSE)</f>
        <v>#N/A</v>
      </c>
      <c r="F23" s="7" t="e">
        <f t="shared" si="0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es-Mina.Tawfik2026</dc:creator>
  <cp:lastModifiedBy>es-Mina.Tawfik2026</cp:lastModifiedBy>
  <dcterms:created xsi:type="dcterms:W3CDTF">2026-05-04T14:10:12Z</dcterms:created>
  <dcterms:modified xsi:type="dcterms:W3CDTF">2026-05-04T14:35:15Z</dcterms:modified>
</cp:coreProperties>
</file>