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na\Downloads\Telegram Desktop\"/>
    </mc:Choice>
  </mc:AlternateContent>
  <xr:revisionPtr revIDLastSave="0" documentId="13_ncr:1_{C993F84E-6B45-4161-82E6-65465CEC2225}" xr6:coauthVersionLast="47" xr6:coauthVersionMax="47" xr10:uidLastSave="{00000000-0000-0000-0000-000000000000}"/>
  <bookViews>
    <workbookView xWindow="-108" yWindow="-108" windowWidth="23256" windowHeight="12456" xr2:uid="{EC61D489-07F9-4D49-8813-74044A00D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 a="1"/>
  <c r="J2" i="1" s="1"/>
  <c r="J4" i="1" a="1"/>
  <c r="J4" i="1" s="1"/>
  <c r="J5" i="1" a="1"/>
  <c r="J5" i="1" s="1"/>
  <c r="J6" i="1" a="1"/>
  <c r="J6" i="1" s="1"/>
  <c r="J7" i="1" a="1"/>
  <c r="J7" i="1" s="1"/>
  <c r="J8" i="1" a="1"/>
  <c r="J8" i="1" s="1"/>
  <c r="J9" i="1" a="1"/>
  <c r="J9" i="1" s="1"/>
  <c r="J10" i="1" a="1"/>
  <c r="J10" i="1" s="1"/>
  <c r="J11" i="1" a="1"/>
  <c r="J11" i="1" s="1"/>
  <c r="I2" i="1"/>
  <c r="I3" i="1"/>
  <c r="I4" i="1"/>
  <c r="I5" i="1"/>
  <c r="I6" i="1"/>
  <c r="I7" i="1"/>
  <c r="I8" i="1"/>
  <c r="I9" i="1"/>
  <c r="I10" i="1"/>
  <c r="I11" i="1"/>
  <c r="H3" i="1"/>
  <c r="H4" i="1"/>
  <c r="H5" i="1"/>
  <c r="H6" i="1"/>
  <c r="H7" i="1"/>
  <c r="H8" i="1"/>
  <c r="H9" i="1"/>
  <c r="H10" i="1"/>
  <c r="H1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<sst xmlns="http://schemas.openxmlformats.org/spreadsheetml/2006/main" count="19" uniqueCount="19">
  <si>
    <t>الاسم</t>
  </si>
  <si>
    <t xml:space="preserve">عربى </t>
  </si>
  <si>
    <t>دين</t>
  </si>
  <si>
    <t>علوم</t>
  </si>
  <si>
    <t>تاريخ</t>
  </si>
  <si>
    <t xml:space="preserve">جغرافيا </t>
  </si>
  <si>
    <t>ادب</t>
  </si>
  <si>
    <t>مريم احمد</t>
  </si>
  <si>
    <t>نور توفيق</t>
  </si>
  <si>
    <t>مارينا ممدوح</t>
  </si>
  <si>
    <t>بسنت احمد</t>
  </si>
  <si>
    <t>ابراهيم يوسف</t>
  </si>
  <si>
    <t>كنزى بيشوى</t>
  </si>
  <si>
    <t>احمد محمود</t>
  </si>
  <si>
    <t xml:space="preserve">على محسن </t>
  </si>
  <si>
    <t>تيا يوسف</t>
  </si>
  <si>
    <t>مجموع</t>
  </si>
  <si>
    <t>نسب مئويه</t>
  </si>
  <si>
    <t>التقدير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</si>
</sst>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</cellXfs>
  <cellStyles count="2">
    <cellStyle name="Normal" xfId="0" builtinId="0"/>
    <cellStyle name="Percent" xfId="1" builtinId="5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69F8CC-5241-4C3C-9989-1F472E4A9EA8}" name="Table2" displayName="Table2" ref="A1:J11" totalsRowShown="0" headerRowDxfId="11" dataDxfId="10">
  <autoFilter ref="A1:J11" xr:uid="{D669F8CC-5241-4C3C-9989-1F472E4A9EA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sortState xmlns:xlrd2="http://schemas.microsoft.com/office/spreadsheetml/2017/richdata2" ref="A2:J11">
    <sortCondition ref="A1:A11"/>
  </sortState>
  <tableColumns count="10">
    <tableColumn id="1" xr3:uid="{6F9E2A68-4BF6-442C-8A68-FB6F3A8FCA02}" name="الاسم" dataDxfId="9"/>
    <tableColumn id="2" xr3:uid="{77CA0330-4410-455C-AEE0-0618B199DAD0}" name="عربى " dataDxfId="8"/>
    <tableColumn id="3" xr3:uid="{15805C76-A0EE-4A90-BFC9-718F6A8CE587}" name="دين" dataDxfId="7"/>
    <tableColumn id="4" xr3:uid="{3CEC18EF-85C8-45A4-A985-28133965DB07}" name="علوم" dataDxfId="6"/>
    <tableColumn id="5" xr3:uid="{33389E1C-4CE3-4A37-8C58-17B267AD5C3E}" name="تاريخ" dataDxfId="5"/>
    <tableColumn id="6" xr3:uid="{91587EAC-4B7F-49D6-B2A1-63F96A091375}" name="جغرافيا " dataDxfId="4"/>
    <tableColumn id="7" xr3:uid="{2315D5DB-17E5-4ED1-A1A1-C772E0D6EB1B}" name="ادب" dataDxfId="3"/>
    <tableColumn id="8" xr3:uid="{92FBD1B2-4186-4EAC-8DDF-0335F1DCCB70}" name="مجموع" dataDxfId="2">
      <calculatedColumnFormula>Table2[[#This Row],[عربى ]]+Table2[[#This Row],[دين]]+Table2[[#This Row],[علوم]]</calculatedColumnFormula>
    </tableColumn>
    <tableColumn id="9" xr3:uid="{9F3A2EA6-298A-485B-B250-6392BA45469C}" name="نسب مئويه" dataDxfId="1">
      <calculatedColumnFormula>Table2[[#This Row],[مجموع]]/100</calculatedColumnFormula>
    </tableColumn>
    <tableColumn id="10" xr3:uid="{2EE50676-3AA6-4E9B-8A59-8F718C655912}" name="التقدير" dataDxfId="0">
      <calculatedColumnFormula array="1">Table2[[#This Row],[مجموع]]+IF(المجموع&lt;100,"ناجح","راسب")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3391-A670-4323-8425-AA6C96709D2F}">
  <dimension ref="A1:J11"/>
  <sheetViews>
    <sheetView rightToLeft="1" tabSelected="1" workbookViewId="0">
      <selection activeCell="J3" sqref="J3"/>
    </sheetView>
  </sheetViews>
  <sheetFormatPr defaultRowHeight="14.4" x14ac:dyDescent="0.3"/>
  <cols>
    <col min="9" max="9" width="9.777343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17</v>
      </c>
      <c r="J1" s="1" t="s">
        <v>18</v>
      </c>
    </row>
    <row r="2" spans="1:10" x14ac:dyDescent="0.3">
      <c r="A2" s="1" t="s">
        <v>11</v>
      </c>
      <c r="B2" s="1">
        <v>30</v>
      </c>
      <c r="C2" s="1">
        <v>20</v>
      </c>
      <c r="D2" s="1">
        <v>15</v>
      </c>
      <c r="E2" s="1">
        <v>40</v>
      </c>
      <c r="F2" s="1">
        <v>25</v>
      </c>
      <c r="G2" s="1">
        <v>40</v>
      </c>
      <c r="H2" s="1">
        <v>65</v>
      </c>
      <c r="I2" s="2">
        <f>Table2[[#This Row],[مجموع]]/100</f>
        <v>0.65</v>
      </c>
      <c r="J2" s="1" t="e" cm="1">
        <f t="array" ref="J2">Table2[[#This Row],[مجموع]]+IF(المجموع&lt;100,"ناجح","راسب")</f>
        <v>#NAME?</v>
      </c>
    </row>
    <row r="3" spans="1:10" x14ac:dyDescent="0.3">
      <c r="A3" s="1" t="s">
        <v>13</v>
      </c>
      <c r="B3" s="1">
        <v>35</v>
      </c>
      <c r="C3" s="1">
        <v>30</v>
      </c>
      <c r="D3" s="1">
        <v>30</v>
      </c>
      <c r="E3" s="1">
        <v>35</v>
      </c>
      <c r="F3" s="1">
        <v>30</v>
      </c>
      <c r="G3" s="1">
        <v>40</v>
      </c>
      <c r="H3" s="1">
        <f>Table2[[#This Row],[عربى ]]+Table2[[#This Row],[دين]]+Table2[[#This Row],[علوم]]</f>
        <v>95</v>
      </c>
      <c r="I3" s="2">
        <f>Table2[[#This Row],[مجموع]]/100</f>
        <v>0.95</v>
      </c>
      <c r="J3" s="1"/>
    </row>
    <row r="4" spans="1:10" x14ac:dyDescent="0.3">
      <c r="A4" s="1" t="s">
        <v>10</v>
      </c>
      <c r="B4" s="1">
        <v>40</v>
      </c>
      <c r="C4" s="1">
        <v>35</v>
      </c>
      <c r="D4" s="1">
        <v>37</v>
      </c>
      <c r="E4" s="1">
        <v>40</v>
      </c>
      <c r="F4" s="1">
        <v>33</v>
      </c>
      <c r="G4" s="1">
        <v>45</v>
      </c>
      <c r="H4" s="1">
        <f>Table2[[#This Row],[عربى ]]+Table2[[#This Row],[دين]]+Table2[[#This Row],[علوم]]</f>
        <v>112</v>
      </c>
      <c r="I4" s="2">
        <f>Table2[[#This Row],[مجموع]]/100</f>
        <v>1.1200000000000001</v>
      </c>
      <c r="J4" s="1" t="e" cm="1">
        <f t="array" ref="J4">Table2[[#This Row],[مجموع]]+IF(المجموع&lt;100,"ناجح","راسب")</f>
        <v>#NAME?</v>
      </c>
    </row>
    <row r="5" spans="1:10" x14ac:dyDescent="0.3">
      <c r="A5" s="1" t="s">
        <v>15</v>
      </c>
      <c r="B5" s="1">
        <v>41</v>
      </c>
      <c r="C5" s="1">
        <v>40</v>
      </c>
      <c r="D5" s="1">
        <v>50</v>
      </c>
      <c r="E5" s="1">
        <v>40</v>
      </c>
      <c r="F5" s="1">
        <v>40</v>
      </c>
      <c r="G5" s="1">
        <v>50</v>
      </c>
      <c r="H5" s="1">
        <f>Table2[[#This Row],[عربى ]]+Table2[[#This Row],[دين]]+Table2[[#This Row],[علوم]]</f>
        <v>131</v>
      </c>
      <c r="I5" s="2">
        <f>Table2[[#This Row],[مجموع]]/100</f>
        <v>1.31</v>
      </c>
      <c r="J5" s="1" t="e" cm="1">
        <f t="array" ref="J5">Table2[[#This Row],[مجموع]]+IF(المجموع&lt;100,"ناجح","راسب")</f>
        <v>#NAME?</v>
      </c>
    </row>
    <row r="6" spans="1:10" x14ac:dyDescent="0.3">
      <c r="A6" s="1" t="s">
        <v>14</v>
      </c>
      <c r="B6" s="1">
        <v>45</v>
      </c>
      <c r="C6" s="1">
        <v>45</v>
      </c>
      <c r="D6" s="1">
        <v>33</v>
      </c>
      <c r="E6" s="1">
        <v>30</v>
      </c>
      <c r="F6" s="1">
        <v>30</v>
      </c>
      <c r="G6" s="1">
        <v>47</v>
      </c>
      <c r="H6" s="1">
        <f>Table2[[#This Row],[عربى ]]+Table2[[#This Row],[دين]]+Table2[[#This Row],[علوم]]</f>
        <v>123</v>
      </c>
      <c r="I6" s="2">
        <f>Table2[[#This Row],[مجموع]]/100</f>
        <v>1.23</v>
      </c>
      <c r="J6" s="1" t="e" cm="1">
        <f t="array" ref="J6">Table2[[#This Row],[مجموع]]+IF(المجموع&lt;100,"ناجح","راسب")</f>
        <v>#NAME?</v>
      </c>
    </row>
    <row r="7" spans="1:10" x14ac:dyDescent="0.3">
      <c r="A7" s="1" t="s">
        <v>12</v>
      </c>
      <c r="B7" s="1">
        <v>25</v>
      </c>
      <c r="C7" s="1">
        <v>35</v>
      </c>
      <c r="D7" s="1">
        <v>43</v>
      </c>
      <c r="E7" s="1">
        <v>33</v>
      </c>
      <c r="F7" s="1">
        <v>27</v>
      </c>
      <c r="G7" s="1">
        <v>25</v>
      </c>
      <c r="H7" s="1">
        <f>Table2[[#This Row],[عربى ]]+Table2[[#This Row],[دين]]+Table2[[#This Row],[علوم]]</f>
        <v>103</v>
      </c>
      <c r="I7" s="2">
        <f>Table2[[#This Row],[مجموع]]/100</f>
        <v>1.03</v>
      </c>
      <c r="J7" s="1" t="e" cm="1">
        <f t="array" ref="J7">Table2[[#This Row],[مجموع]]+IF(المجموع&lt;100,"ناجح","راسب")</f>
        <v>#NAME?</v>
      </c>
    </row>
    <row r="8" spans="1:10" x14ac:dyDescent="0.3">
      <c r="A8" s="1" t="s">
        <v>9</v>
      </c>
      <c r="B8" s="1">
        <v>27</v>
      </c>
      <c r="C8" s="1">
        <v>25</v>
      </c>
      <c r="D8" s="1">
        <v>44</v>
      </c>
      <c r="E8" s="1">
        <v>25</v>
      </c>
      <c r="F8" s="1">
        <v>28</v>
      </c>
      <c r="G8" s="1">
        <v>30</v>
      </c>
      <c r="H8" s="1">
        <f>Table2[[#This Row],[عربى ]]+Table2[[#This Row],[دين]]+Table2[[#This Row],[علوم]]</f>
        <v>96</v>
      </c>
      <c r="I8" s="2">
        <f>Table2[[#This Row],[مجموع]]/100</f>
        <v>0.96</v>
      </c>
      <c r="J8" s="1" t="e" cm="1">
        <f t="array" ref="J8">Table2[[#This Row],[مجموع]]+IF(المجموع&lt;100,"ناجح","راسب")</f>
        <v>#NAME?</v>
      </c>
    </row>
    <row r="9" spans="1:10" x14ac:dyDescent="0.3">
      <c r="A9" s="1" t="s">
        <v>7</v>
      </c>
      <c r="B9" s="1">
        <v>50</v>
      </c>
      <c r="C9" s="1">
        <v>31</v>
      </c>
      <c r="D9" s="1">
        <v>47</v>
      </c>
      <c r="E9" s="1">
        <v>30</v>
      </c>
      <c r="F9" s="1">
        <v>40</v>
      </c>
      <c r="G9" s="1">
        <v>29</v>
      </c>
      <c r="H9" s="1">
        <f>Table2[[#This Row],[عربى ]]+Table2[[#This Row],[دين]]+Table2[[#This Row],[علوم]]</f>
        <v>128</v>
      </c>
      <c r="I9" s="2">
        <f>Table2[[#This Row],[مجموع]]/100</f>
        <v>1.28</v>
      </c>
      <c r="J9" s="1" t="e" cm="1">
        <f t="array" ref="J9">Table2[[#This Row],[مجموع]]+IF(المجموع&lt;100,"ناجح","راسب")</f>
        <v>#NAME?</v>
      </c>
    </row>
    <row r="10" spans="1:10" x14ac:dyDescent="0.3">
      <c r="A10" s="1" t="s">
        <v>8</v>
      </c>
      <c r="B10" s="1">
        <v>47</v>
      </c>
      <c r="C10" s="1">
        <v>47</v>
      </c>
      <c r="D10" s="1">
        <v>40</v>
      </c>
      <c r="E10" s="1">
        <v>35</v>
      </c>
      <c r="F10" s="1">
        <v>35</v>
      </c>
      <c r="G10" s="1">
        <v>37</v>
      </c>
      <c r="H10" s="1">
        <f>Table2[[#This Row],[عربى ]]+Table2[[#This Row],[دين]]+Table2[[#This Row],[علوم]]</f>
        <v>134</v>
      </c>
      <c r="I10" s="2">
        <f>Table2[[#This Row],[مجموع]]/100</f>
        <v>1.34</v>
      </c>
      <c r="J10" s="1" t="e" cm="1">
        <f t="array" ref="J10">Table2[[#This Row],[مجموع]]+IF(المجموع&lt;100,"ناجح","راسب")</f>
        <v>#NAME?</v>
      </c>
    </row>
    <row r="11" spans="1:10" x14ac:dyDescent="0.3">
      <c r="A11" s="1"/>
      <c r="B11" s="1"/>
      <c r="C11" s="1"/>
      <c r="D11" s="1"/>
      <c r="E11" s="1"/>
      <c r="F11" s="1"/>
      <c r="G11" s="1"/>
      <c r="H11" s="1">
        <f>Table2[[#This Row],[عربى ]]+Table2[[#This Row],[دين]]+Table2[[#This Row],[علوم]]</f>
        <v>0</v>
      </c>
      <c r="I11" s="1">
        <f>Table2[[#This Row],[مجموع]]/100</f>
        <v>0</v>
      </c>
      <c r="J11" s="1" t="e" cm="1">
        <f t="array" ref="J11">Table2[[#This Row],[مجموع]]+IF(المجموع&lt;100,"ناجح","راسب")</f>
        <v>#NAME?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es-Mina.Tawfik2026</dc:creator>
  <cp:lastModifiedBy>es-Mina.Tawfik2026</cp:lastModifiedBy>
  <cp:lastPrinted>2026-03-07T20:05:20Z</cp:lastPrinted>
  <dcterms:created xsi:type="dcterms:W3CDTF">2026-03-07T19:36:58Z</dcterms:created>
  <dcterms:modified xsi:type="dcterms:W3CDTF">2026-03-07T20:05:59Z</dcterms:modified>
</cp:coreProperties>
</file>