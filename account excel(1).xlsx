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\Downloads\"/>
    </mc:Choice>
  </mc:AlternateContent>
  <xr:revisionPtr revIDLastSave="0" documentId="8_{FB5B5FEC-88EF-417D-ACB1-2AD378058448}" xr6:coauthVersionLast="47" xr6:coauthVersionMax="47" xr10:uidLastSave="{00000000-0000-0000-0000-000000000000}"/>
  <bookViews>
    <workbookView xWindow="-108" yWindow="-108" windowWidth="23256" windowHeight="12456" xr2:uid="{02D45D05-BF53-40DD-B366-81BF85FD4B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D21" i="1"/>
  <c r="D20" i="1"/>
  <c r="D19" i="1"/>
  <c r="D18" i="1"/>
  <c r="D17" i="1"/>
</calcChain>
</file>

<file path=xl/sharedStrings.xml><?xml version="1.0" encoding="utf-8"?>
<sst xmlns="http://schemas.openxmlformats.org/spreadsheetml/2006/main" count="44" uniqueCount="38">
  <si>
    <t>كود العميل</t>
  </si>
  <si>
    <t>اسم العميل</t>
  </si>
  <si>
    <t>الدولة</t>
  </si>
  <si>
    <t>المبيعات السنوية</t>
  </si>
  <si>
    <t>شركة النور للتجارة</t>
  </si>
  <si>
    <t>السعودية</t>
  </si>
  <si>
    <t>شركة المستقبل</t>
  </si>
  <si>
    <t>مصر</t>
  </si>
  <si>
    <t>مؤسسة الأمل</t>
  </si>
  <si>
    <t>الإمارات</t>
  </si>
  <si>
    <t>شركة الريادة</t>
  </si>
  <si>
    <t>الكويت</t>
  </si>
  <si>
    <t>شركة العالمية</t>
  </si>
  <si>
    <t>مؤسسة الإبداع</t>
  </si>
  <si>
    <t>الأردن</t>
  </si>
  <si>
    <t>شركة التقدم</t>
  </si>
  <si>
    <t>المغرب</t>
  </si>
  <si>
    <t>شركة التقنية الحديثة</t>
  </si>
  <si>
    <t>مؤسسة النجاح</t>
  </si>
  <si>
    <t>شركة الإخلاص</t>
  </si>
  <si>
    <t>الجزائر</t>
  </si>
  <si>
    <t>شركة الصفوة</t>
  </si>
  <si>
    <t>مؤسسة الرواد</t>
  </si>
  <si>
    <t>شركة الإتقان</t>
  </si>
  <si>
    <t>قطر</t>
  </si>
  <si>
    <t>شركة التميز</t>
  </si>
  <si>
    <t>البحرين</t>
  </si>
  <si>
    <t>مؤسسة الطموح</t>
  </si>
  <si>
    <t>sum</t>
  </si>
  <si>
    <t>count a</t>
  </si>
  <si>
    <t>max</t>
  </si>
  <si>
    <t>min</t>
  </si>
  <si>
    <t>averge</t>
  </si>
  <si>
    <t>التصنيف 1</t>
  </si>
  <si>
    <t>التصنيف 2</t>
  </si>
  <si>
    <t>التصنيف 3</t>
  </si>
  <si>
    <t>عمولة المبيعات التصدير</t>
  </si>
  <si>
    <t>عمولة المبيعات االمحلية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</si>
</sst>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4"/>
        </stop>
      </gradient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</fills>
  <borders count="11">
    <border>
      <left/>
      <right/>
      <top/>
      <bottom/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9" fontId="0" fillId="5" borderId="10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" fontId="0" fillId="4" borderId="1" xfId="0" applyNumberFormat="1" applyFill="1" applyBorder="1" applyAlignment="1">
      <alignment horizontal="center"/>
    </xf>
    <xf numFmtId="4" fontId="0" fillId="4" borderId="2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" fontId="0" fillId="3" borderId="5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4" fontId="0" fillId="3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FECCA-EDA2-4173-8FF0-A06E23FA77CB}">
  <dimension ref="A1:K24"/>
  <sheetViews>
    <sheetView rightToLeft="1" tabSelected="1" workbookViewId="0">
      <selection activeCell="F20" sqref="F20"/>
    </sheetView>
  </sheetViews>
  <sheetFormatPr defaultRowHeight="14.4" x14ac:dyDescent="0.3"/>
  <cols>
    <col min="1" max="1" width="12.33203125" bestFit="1" customWidth="1"/>
    <col min="2" max="2" width="13.33203125" style="2" customWidth="1"/>
    <col min="3" max="3" width="6.77734375" style="2" customWidth="1"/>
    <col min="4" max="4" width="18.44140625" bestFit="1" customWidth="1"/>
    <col min="5" max="7" width="11.88671875" bestFit="1" customWidth="1"/>
  </cols>
  <sheetData>
    <row r="1" spans="1:11" ht="21" x14ac:dyDescent="0.4">
      <c r="A1" s="10" t="s">
        <v>0</v>
      </c>
      <c r="B1" s="10" t="s">
        <v>1</v>
      </c>
      <c r="C1" s="10" t="s">
        <v>2</v>
      </c>
      <c r="D1" s="10" t="s">
        <v>3</v>
      </c>
      <c r="E1" s="10" t="s">
        <v>33</v>
      </c>
      <c r="F1" s="10" t="s">
        <v>34</v>
      </c>
      <c r="G1" s="10" t="s">
        <v>35</v>
      </c>
    </row>
    <row r="2" spans="1:11" x14ac:dyDescent="0.3">
      <c r="A2" s="3">
        <v>30001</v>
      </c>
      <c r="B2" s="3" t="s">
        <v>4</v>
      </c>
      <c r="C2" s="3" t="s">
        <v>5</v>
      </c>
      <c r="D2" s="11">
        <v>125000</v>
      </c>
      <c r="E2" s="3" t="str">
        <f>IF(D2&gt;100000,"عميل عادى","عميل مهم")</f>
        <v>عميل عادى</v>
      </c>
      <c r="F2" s="3" t="str">
        <f>IF(C2="السعودية","مبيعات محلية","مبيعات تصدير")</f>
        <v>مبيعات محلية</v>
      </c>
      <c r="G2" s="3">
        <f>IF(F2="مبيعات محلية",D2*2%,D2*4%)</f>
        <v>2500</v>
      </c>
      <c r="K2" s="1"/>
    </row>
    <row r="3" spans="1:11" x14ac:dyDescent="0.3">
      <c r="A3" s="3">
        <v>30002</v>
      </c>
      <c r="B3" s="3" t="s">
        <v>6</v>
      </c>
      <c r="C3" s="3" t="s">
        <v>7</v>
      </c>
      <c r="D3" s="11">
        <v>98750</v>
      </c>
      <c r="E3" s="3" t="str">
        <f t="shared" ref="E3:E16" si="0">IF(D3&gt;100000,"عميل عادى","عميل مهم")</f>
        <v>عميل مهم</v>
      </c>
      <c r="F3" s="3" t="str">
        <f t="shared" ref="F3:F16" si="1">IF(C3="السعودية","مبيعات محلية","مبيعات تصدير")</f>
        <v>مبيعات تصدير</v>
      </c>
      <c r="G3" s="3">
        <f t="shared" ref="G3:G16" si="2">IF(F3="مبيعات محلية",D3*2%,D3*4%)</f>
        <v>3950</v>
      </c>
      <c r="K3" s="1"/>
    </row>
    <row r="4" spans="1:11" x14ac:dyDescent="0.3">
      <c r="A4" s="3">
        <v>30003</v>
      </c>
      <c r="B4" s="3" t="s">
        <v>8</v>
      </c>
      <c r="C4" s="3" t="s">
        <v>9</v>
      </c>
      <c r="D4" s="11">
        <v>210300</v>
      </c>
      <c r="E4" s="3" t="str">
        <f t="shared" si="0"/>
        <v>عميل عادى</v>
      </c>
      <c r="F4" s="3" t="str">
        <f t="shared" si="1"/>
        <v>مبيعات تصدير</v>
      </c>
      <c r="G4" s="3">
        <f t="shared" si="2"/>
        <v>8412</v>
      </c>
      <c r="K4" s="1"/>
    </row>
    <row r="5" spans="1:11" x14ac:dyDescent="0.3">
      <c r="A5" s="3">
        <v>30004</v>
      </c>
      <c r="B5" s="3" t="s">
        <v>10</v>
      </c>
      <c r="C5" s="3" t="s">
        <v>11</v>
      </c>
      <c r="D5" s="11">
        <v>75600</v>
      </c>
      <c r="E5" s="3" t="str">
        <f t="shared" si="0"/>
        <v>عميل مهم</v>
      </c>
      <c r="F5" s="3" t="str">
        <f t="shared" si="1"/>
        <v>مبيعات تصدير</v>
      </c>
      <c r="G5" s="3">
        <f t="shared" si="2"/>
        <v>3024</v>
      </c>
      <c r="K5" s="1"/>
    </row>
    <row r="6" spans="1:11" x14ac:dyDescent="0.3">
      <c r="A6" s="3">
        <v>30005</v>
      </c>
      <c r="B6" s="3" t="s">
        <v>12</v>
      </c>
      <c r="C6" s="3" t="s">
        <v>5</v>
      </c>
      <c r="D6" s="11">
        <v>185450</v>
      </c>
      <c r="E6" s="3" t="str">
        <f t="shared" si="0"/>
        <v>عميل عادى</v>
      </c>
      <c r="F6" s="3" t="str">
        <f t="shared" si="1"/>
        <v>مبيعات محلية</v>
      </c>
      <c r="G6" s="3">
        <f t="shared" si="2"/>
        <v>3709</v>
      </c>
      <c r="K6" s="1"/>
    </row>
    <row r="7" spans="1:11" x14ac:dyDescent="0.3">
      <c r="A7" s="3">
        <v>30006</v>
      </c>
      <c r="B7" s="3" t="s">
        <v>13</v>
      </c>
      <c r="C7" s="3" t="s">
        <v>14</v>
      </c>
      <c r="D7" s="11">
        <v>66900</v>
      </c>
      <c r="E7" s="3" t="str">
        <f t="shared" si="0"/>
        <v>عميل مهم</v>
      </c>
      <c r="F7" s="3" t="str">
        <f t="shared" si="1"/>
        <v>مبيعات تصدير</v>
      </c>
      <c r="G7" s="3">
        <f t="shared" si="2"/>
        <v>2676</v>
      </c>
      <c r="K7" s="1"/>
    </row>
    <row r="8" spans="1:11" x14ac:dyDescent="0.3">
      <c r="A8" s="3">
        <v>30007</v>
      </c>
      <c r="B8" s="3" t="s">
        <v>15</v>
      </c>
      <c r="C8" s="3" t="s">
        <v>16</v>
      </c>
      <c r="D8" s="11">
        <v>143200</v>
      </c>
      <c r="E8" s="3" t="str">
        <f t="shared" si="0"/>
        <v>عميل عادى</v>
      </c>
      <c r="F8" s="3" t="str">
        <f t="shared" si="1"/>
        <v>مبيعات تصدير</v>
      </c>
      <c r="G8" s="3">
        <f t="shared" si="2"/>
        <v>5728</v>
      </c>
      <c r="K8" s="1"/>
    </row>
    <row r="9" spans="1:11" x14ac:dyDescent="0.3">
      <c r="A9" s="3">
        <v>30008</v>
      </c>
      <c r="B9" s="3" t="s">
        <v>17</v>
      </c>
      <c r="C9" s="3" t="s">
        <v>7</v>
      </c>
      <c r="D9" s="11">
        <v>220000</v>
      </c>
      <c r="E9" s="3" t="str">
        <f t="shared" si="0"/>
        <v>عميل عادى</v>
      </c>
      <c r="F9" s="3" t="str">
        <f t="shared" si="1"/>
        <v>مبيعات تصدير</v>
      </c>
      <c r="G9" s="3">
        <f t="shared" si="2"/>
        <v>8800</v>
      </c>
      <c r="K9" s="1"/>
    </row>
    <row r="10" spans="1:11" x14ac:dyDescent="0.3">
      <c r="A10" s="3">
        <v>30009</v>
      </c>
      <c r="B10" s="3" t="s">
        <v>18</v>
      </c>
      <c r="C10" s="3" t="s">
        <v>5</v>
      </c>
      <c r="D10" s="11">
        <v>59300</v>
      </c>
      <c r="E10" s="3" t="str">
        <f t="shared" si="0"/>
        <v>عميل مهم</v>
      </c>
      <c r="F10" s="3" t="str">
        <f t="shared" si="1"/>
        <v>مبيعات محلية</v>
      </c>
      <c r="G10" s="3">
        <f t="shared" si="2"/>
        <v>1186</v>
      </c>
      <c r="K10" s="1"/>
    </row>
    <row r="11" spans="1:11" x14ac:dyDescent="0.3">
      <c r="A11" s="3">
        <v>30010</v>
      </c>
      <c r="B11" s="3" t="s">
        <v>19</v>
      </c>
      <c r="C11" s="3" t="s">
        <v>20</v>
      </c>
      <c r="D11" s="11">
        <v>134780</v>
      </c>
      <c r="E11" s="3" t="str">
        <f t="shared" si="0"/>
        <v>عميل عادى</v>
      </c>
      <c r="F11" s="3" t="str">
        <f t="shared" si="1"/>
        <v>مبيعات تصدير</v>
      </c>
      <c r="G11" s="3">
        <f t="shared" si="2"/>
        <v>5391.2</v>
      </c>
      <c r="K11" s="1"/>
    </row>
    <row r="12" spans="1:11" x14ac:dyDescent="0.3">
      <c r="A12" s="3">
        <v>30011</v>
      </c>
      <c r="B12" s="3" t="s">
        <v>21</v>
      </c>
      <c r="C12" s="3" t="s">
        <v>9</v>
      </c>
      <c r="D12" s="11">
        <v>176950</v>
      </c>
      <c r="E12" s="3" t="str">
        <f t="shared" si="0"/>
        <v>عميل عادى</v>
      </c>
      <c r="F12" s="3" t="str">
        <f t="shared" si="1"/>
        <v>مبيعات تصدير</v>
      </c>
      <c r="G12" s="3">
        <f t="shared" si="2"/>
        <v>7078</v>
      </c>
      <c r="K12" s="1"/>
    </row>
    <row r="13" spans="1:11" x14ac:dyDescent="0.3">
      <c r="A13" s="3">
        <v>30012</v>
      </c>
      <c r="B13" s="3" t="s">
        <v>22</v>
      </c>
      <c r="C13" s="3" t="s">
        <v>5</v>
      </c>
      <c r="D13" s="11">
        <v>89400</v>
      </c>
      <c r="E13" s="3" t="str">
        <f t="shared" si="0"/>
        <v>عميل مهم</v>
      </c>
      <c r="F13" s="3" t="str">
        <f t="shared" si="1"/>
        <v>مبيعات محلية</v>
      </c>
      <c r="G13" s="3">
        <f t="shared" si="2"/>
        <v>1788</v>
      </c>
      <c r="K13" s="1"/>
    </row>
    <row r="14" spans="1:11" x14ac:dyDescent="0.3">
      <c r="A14" s="3">
        <v>30013</v>
      </c>
      <c r="B14" s="3" t="s">
        <v>23</v>
      </c>
      <c r="C14" s="3" t="s">
        <v>24</v>
      </c>
      <c r="D14" s="11">
        <v>199999</v>
      </c>
      <c r="E14" s="3" t="str">
        <f t="shared" si="0"/>
        <v>عميل عادى</v>
      </c>
      <c r="F14" s="3" t="str">
        <f t="shared" si="1"/>
        <v>مبيعات تصدير</v>
      </c>
      <c r="G14" s="3">
        <f t="shared" si="2"/>
        <v>7999.96</v>
      </c>
      <c r="K14" s="1"/>
    </row>
    <row r="15" spans="1:11" x14ac:dyDescent="0.3">
      <c r="A15" s="3">
        <v>30014</v>
      </c>
      <c r="B15" s="3" t="s">
        <v>25</v>
      </c>
      <c r="C15" s="3" t="s">
        <v>26</v>
      </c>
      <c r="D15" s="11">
        <v>158250</v>
      </c>
      <c r="E15" s="3" t="str">
        <f t="shared" si="0"/>
        <v>عميل عادى</v>
      </c>
      <c r="F15" s="3" t="str">
        <f t="shared" si="1"/>
        <v>مبيعات تصدير</v>
      </c>
      <c r="G15" s="3">
        <f t="shared" si="2"/>
        <v>6330</v>
      </c>
      <c r="K15" s="1"/>
    </row>
    <row r="16" spans="1:11" x14ac:dyDescent="0.3">
      <c r="A16" s="4">
        <v>30015</v>
      </c>
      <c r="B16" s="4" t="s">
        <v>27</v>
      </c>
      <c r="C16" s="4" t="s">
        <v>7</v>
      </c>
      <c r="D16" s="12">
        <v>102600</v>
      </c>
      <c r="E16" s="3" t="str">
        <f t="shared" si="0"/>
        <v>عميل عادى</v>
      </c>
      <c r="F16" s="3" t="str">
        <f t="shared" si="1"/>
        <v>مبيعات تصدير</v>
      </c>
      <c r="G16" s="3">
        <f t="shared" si="2"/>
        <v>4104</v>
      </c>
      <c r="K16" s="1"/>
    </row>
    <row r="17" spans="1:7" ht="18" x14ac:dyDescent="0.35">
      <c r="A17" s="13" t="s">
        <v>28</v>
      </c>
      <c r="B17" s="5"/>
      <c r="C17" s="5"/>
      <c r="D17" s="14">
        <f>SUM(D2:D16)</f>
        <v>2046479</v>
      </c>
      <c r="F17" s="1"/>
      <c r="G17" s="1"/>
    </row>
    <row r="18" spans="1:7" ht="18" x14ac:dyDescent="0.35">
      <c r="A18" s="15" t="s">
        <v>29</v>
      </c>
      <c r="B18" s="6"/>
      <c r="C18" s="6"/>
      <c r="D18" s="16">
        <f>COUNTA(D2:D16)</f>
        <v>15</v>
      </c>
    </row>
    <row r="19" spans="1:7" ht="18" x14ac:dyDescent="0.35">
      <c r="A19" s="15" t="s">
        <v>30</v>
      </c>
      <c r="B19" s="6"/>
      <c r="C19" s="6"/>
      <c r="D19" s="17">
        <f>MAX(D2:D16)</f>
        <v>220000</v>
      </c>
    </row>
    <row r="20" spans="1:7" ht="18" x14ac:dyDescent="0.35">
      <c r="A20" s="15" t="s">
        <v>31</v>
      </c>
      <c r="B20" s="6"/>
      <c r="C20" s="6"/>
      <c r="D20" s="17">
        <f>MIN(D2:D16)</f>
        <v>59300</v>
      </c>
    </row>
    <row r="21" spans="1:7" ht="18" x14ac:dyDescent="0.35">
      <c r="A21" s="18" t="s">
        <v>32</v>
      </c>
      <c r="B21" s="7"/>
      <c r="C21" s="7"/>
      <c r="D21" s="19">
        <f>AVERAGE(D2:D16)</f>
        <v>136431.93333333332</v>
      </c>
    </row>
    <row r="23" spans="1:7" x14ac:dyDescent="0.3">
      <c r="A23" s="8" t="s">
        <v>36</v>
      </c>
      <c r="B23" s="8"/>
      <c r="C23" s="9">
        <v>0.04</v>
      </c>
    </row>
    <row r="24" spans="1:7" x14ac:dyDescent="0.3">
      <c r="A24" s="8" t="s">
        <v>37</v>
      </c>
      <c r="B24" s="8"/>
      <c r="C24" s="9">
        <v>0.02</v>
      </c>
    </row>
  </sheetData>
  <mergeCells count="2">
    <mergeCell ref="A23:B23"/>
    <mergeCell ref="A24:B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es-Mina.Tawfik2026</dc:creator>
  <cp:lastModifiedBy>es-Mina.Tawfik2026</cp:lastModifiedBy>
  <dcterms:created xsi:type="dcterms:W3CDTF">2026-04-25T14:16:37Z</dcterms:created>
  <dcterms:modified xsi:type="dcterms:W3CDTF">2026-04-25T15:41:49Z</dcterms:modified>
</cp:coreProperties>
</file>