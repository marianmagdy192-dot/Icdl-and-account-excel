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 users mina\marian\"/>
    </mc:Choice>
  </mc:AlternateContent>
  <xr:revisionPtr revIDLastSave="0" documentId="8_{5ED62C20-1B0E-4500-B7B8-9BDC79B3E1E9}" xr6:coauthVersionLast="47" xr6:coauthVersionMax="47" xr10:uidLastSave="{00000000-0000-0000-0000-000000000000}"/>
  <bookViews>
    <workbookView xWindow="-108" yWindow="-108" windowWidth="23256" windowHeight="12456" activeTab="1" xr2:uid="{EC61D489-07F9-4D49-8813-74044A00D8FC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12" i="1"/>
  <c r="E12" i="1"/>
  <c r="D12" i="1"/>
  <c r="C12" i="1"/>
  <c r="C13" i="1"/>
  <c r="D13" i="1"/>
  <c r="E13" i="1"/>
  <c r="F13" i="1"/>
  <c r="G13" i="1"/>
  <c r="B12" i="1"/>
  <c r="B13" i="1"/>
  <c r="I3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J10" i="1" s="1"/>
  <c r="H11" i="1"/>
  <c r="I11" i="1" s="1"/>
  <c r="J3" i="1"/>
  <c r="J11" i="1" l="1"/>
  <c r="J6" i="1"/>
  <c r="J8" i="1"/>
  <c r="J5" i="1"/>
  <c r="I10" i="1"/>
  <c r="J7" i="1"/>
  <c r="J9" i="1"/>
  <c r="J4" i="1"/>
</calcChain>
</file>

<file path=xl/sharedStrings.xml><?xml version="1.0" encoding="utf-8"?>
<sst xmlns="http://schemas.openxmlformats.org/spreadsheetml/2006/main" count="26" uniqueCount="25">
  <si>
    <t>الاسم</t>
  </si>
  <si>
    <t xml:space="preserve">عربى </t>
  </si>
  <si>
    <t>دين</t>
  </si>
  <si>
    <t>علوم</t>
  </si>
  <si>
    <t>تاريخ</t>
  </si>
  <si>
    <t xml:space="preserve">جغرافيا </t>
  </si>
  <si>
    <t>ادب</t>
  </si>
  <si>
    <t>مريم احمد</t>
  </si>
  <si>
    <t>نور توفيق</t>
  </si>
  <si>
    <t>مارينا ممدوح</t>
  </si>
  <si>
    <t>بسنت احمد</t>
  </si>
  <si>
    <t>ابراهيم يوسف</t>
  </si>
  <si>
    <t>كنزى بيشوى</t>
  </si>
  <si>
    <t>احمد محمود</t>
  </si>
  <si>
    <t xml:space="preserve">على محسن </t>
  </si>
  <si>
    <t>تيا يوسف</t>
  </si>
  <si>
    <t>مجموع</t>
  </si>
  <si>
    <t>نسب مئويه</t>
  </si>
  <si>
    <t>التقدير</t>
  </si>
  <si>
    <t>راسب</t>
  </si>
  <si>
    <t>ناجح</t>
  </si>
  <si>
    <t>Count of التقدير</t>
  </si>
  <si>
    <t>علوم تربوية</t>
  </si>
  <si>
    <t>علوم سياسية</t>
  </si>
  <si>
    <t>الاجمالى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</si>
</sst>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pivotButton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2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</a:t>
            </a:r>
            <a:r>
              <a:rPr lang="ar-EG"/>
              <a:t>التقدير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راسب</c:v>
                </c:pt>
                <c:pt idx="1">
                  <c:v>ناجح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7-4541-842C-BBFD1F74B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671200"/>
        <c:axId val="675672160"/>
      </c:barChart>
      <c:catAx>
        <c:axId val="675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2160"/>
        <c:crosses val="autoZero"/>
        <c:auto val="1"/>
        <c:lblAlgn val="ctr"/>
        <c:lblOffset val="100"/>
        <c:noMultiLvlLbl val="0"/>
      </c:catAx>
      <c:valAx>
        <c:axId val="6756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عربى 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41</c:v>
                </c:pt>
                <c:pt idx="4">
                  <c:v>45</c:v>
                </c:pt>
                <c:pt idx="5">
                  <c:v>25</c:v>
                </c:pt>
                <c:pt idx="6">
                  <c:v>27</c:v>
                </c:pt>
                <c:pt idx="7">
                  <c:v>50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E-4794-92FD-17DBD3FE1F1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دين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Sheet1!$C$3:$C$11</c:f>
              <c:numCache>
                <c:formatCode>General</c:formatCode>
                <c:ptCount val="9"/>
                <c:pt idx="0">
                  <c:v>20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35</c:v>
                </c:pt>
                <c:pt idx="6">
                  <c:v>25</c:v>
                </c:pt>
                <c:pt idx="7">
                  <c:v>31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E-4794-92FD-17DBD3FE1F1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علوم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9"/>
                <c:pt idx="0">
                  <c:v>15</c:v>
                </c:pt>
                <c:pt idx="1">
                  <c:v>30</c:v>
                </c:pt>
                <c:pt idx="2">
                  <c:v>37</c:v>
                </c:pt>
                <c:pt idx="3">
                  <c:v>50</c:v>
                </c:pt>
                <c:pt idx="4">
                  <c:v>33</c:v>
                </c:pt>
                <c:pt idx="5">
                  <c:v>43</c:v>
                </c:pt>
                <c:pt idx="6">
                  <c:v>44</c:v>
                </c:pt>
                <c:pt idx="7">
                  <c:v>47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E-4794-92FD-17DBD3FE1F12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تاريخ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Sheet1!$E$3:$E$11</c:f>
              <c:numCache>
                <c:formatCode>General</c:formatCode>
                <c:ptCount val="9"/>
                <c:pt idx="0">
                  <c:v>40</c:v>
                </c:pt>
                <c:pt idx="1">
                  <c:v>35</c:v>
                </c:pt>
                <c:pt idx="2">
                  <c:v>40</c:v>
                </c:pt>
                <c:pt idx="3">
                  <c:v>40</c:v>
                </c:pt>
                <c:pt idx="4">
                  <c:v>30</c:v>
                </c:pt>
                <c:pt idx="5">
                  <c:v>33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DE-4794-92FD-17DBD3FE1F12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جغرافيا 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Sheet1!$F$3:$F$11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33</c:v>
                </c:pt>
                <c:pt idx="3">
                  <c:v>40</c:v>
                </c:pt>
                <c:pt idx="4">
                  <c:v>30</c:v>
                </c:pt>
                <c:pt idx="5">
                  <c:v>27</c:v>
                </c:pt>
                <c:pt idx="6">
                  <c:v>28</c:v>
                </c:pt>
                <c:pt idx="7">
                  <c:v>40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DE-4794-92FD-17DBD3FE1F12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ادب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Sheet1!$G$3:$G$11</c:f>
              <c:numCache>
                <c:formatCode>General</c:formatCode>
                <c:ptCount val="9"/>
                <c:pt idx="0">
                  <c:v>40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  <c:pt idx="4">
                  <c:v>47</c:v>
                </c:pt>
                <c:pt idx="5">
                  <c:v>25</c:v>
                </c:pt>
                <c:pt idx="6">
                  <c:v>30</c:v>
                </c:pt>
                <c:pt idx="7">
                  <c:v>29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DE-4794-92FD-17DBD3FE1F12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مجموع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Sheet1!$H$3:$H$11</c:f>
              <c:numCache>
                <c:formatCode>General</c:formatCode>
                <c:ptCount val="9"/>
                <c:pt idx="0">
                  <c:v>65</c:v>
                </c:pt>
                <c:pt idx="1">
                  <c:v>95</c:v>
                </c:pt>
                <c:pt idx="2">
                  <c:v>112</c:v>
                </c:pt>
                <c:pt idx="3">
                  <c:v>131</c:v>
                </c:pt>
                <c:pt idx="4">
                  <c:v>123</c:v>
                </c:pt>
                <c:pt idx="5">
                  <c:v>103</c:v>
                </c:pt>
                <c:pt idx="6">
                  <c:v>96</c:v>
                </c:pt>
                <c:pt idx="7">
                  <c:v>128</c:v>
                </c:pt>
                <c:pt idx="8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E-4794-92FD-17DBD3FE1F12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نسب مئويه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Sheet1!$I$3:$I$11</c:f>
              <c:numCache>
                <c:formatCode>0%</c:formatCode>
                <c:ptCount val="9"/>
                <c:pt idx="0">
                  <c:v>0.65</c:v>
                </c:pt>
                <c:pt idx="1">
                  <c:v>0.95</c:v>
                </c:pt>
                <c:pt idx="2">
                  <c:v>1.1200000000000001</c:v>
                </c:pt>
                <c:pt idx="3">
                  <c:v>1.31</c:v>
                </c:pt>
                <c:pt idx="4">
                  <c:v>1.23</c:v>
                </c:pt>
                <c:pt idx="5">
                  <c:v>1.03</c:v>
                </c:pt>
                <c:pt idx="6">
                  <c:v>0.96</c:v>
                </c:pt>
                <c:pt idx="7">
                  <c:v>1.28</c:v>
                </c:pt>
                <c:pt idx="8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DE-4794-92FD-17DBD3FE1F12}"/>
            </c:ext>
          </c:extLst>
        </c:ser>
        <c:ser>
          <c:idx val="8"/>
          <c:order val="8"/>
          <c:tx>
            <c:strRef>
              <c:f>Sheet1!$J$2</c:f>
              <c:strCache>
                <c:ptCount val="1"/>
                <c:pt idx="0">
                  <c:v>التقدير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ابراهيم يوسف</c:v>
                </c:pt>
                <c:pt idx="1">
                  <c:v>احمد محمود</c:v>
                </c:pt>
                <c:pt idx="2">
                  <c:v>بسنت احمد</c:v>
                </c:pt>
                <c:pt idx="3">
                  <c:v>تيا يوسف</c:v>
                </c:pt>
                <c:pt idx="4">
                  <c:v>على محسن </c:v>
                </c:pt>
                <c:pt idx="5">
                  <c:v>كنزى بيشوى</c:v>
                </c:pt>
                <c:pt idx="6">
                  <c:v>مارينا ممدوح</c:v>
                </c:pt>
                <c:pt idx="7">
                  <c:v>مريم احمد</c:v>
                </c:pt>
                <c:pt idx="8">
                  <c:v>نور توفيق</c:v>
                </c:pt>
              </c:strCache>
            </c:strRef>
          </c:cat>
          <c:val>
            <c:numRef>
              <c:f>Sheet1!$J$3:$J$11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DE-4794-92FD-17DBD3FE1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956918191"/>
        <c:axId val="956922991"/>
      </c:barChart>
      <c:catAx>
        <c:axId val="9569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22991"/>
        <c:crosses val="autoZero"/>
        <c:auto val="1"/>
        <c:lblAlgn val="ctr"/>
        <c:lblOffset val="100"/>
        <c:noMultiLvlLbl val="0"/>
      </c:catAx>
      <c:valAx>
        <c:axId val="95692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[Book1.xlsx]Sheet2!PivotTable40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Count of </a:t>
            </a:r>
            <a:r>
              <a:rPr lang="ar-EG"/>
              <a:t>التقدير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35870516185477E-2"/>
          <c:y val="0.24120212213871556"/>
          <c:w val="0.91564129483814527"/>
          <c:h val="0.529979502917754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2"/>
                <c:pt idx="0">
                  <c:v>راسب</c:v>
                </c:pt>
                <c:pt idx="1">
                  <c:v>ناجح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7-4614-86DB-B9475E81FB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75671200"/>
        <c:axId val="675672160"/>
      </c:barChart>
      <c:catAx>
        <c:axId val="675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2160"/>
        <c:crosses val="autoZero"/>
        <c:auto val="1"/>
        <c:lblAlgn val="ctr"/>
        <c:lblOffset val="100"/>
        <c:noMultiLvlLbl val="0"/>
      </c:catAx>
      <c:valAx>
        <c:axId val="675672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5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259080</xdr:colOff>
      <xdr:row>3</xdr:row>
      <xdr:rowOff>22860</xdr:rowOff>
    </xdr:from>
    <xdr:to>
      <xdr:col>17</xdr:col>
      <xdr:colOff>563880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20969-2084-48A3-EE87-E4CEF9A55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0</xdr:row>
      <xdr:rowOff>110490</xdr:rowOff>
    </xdr:from>
    <xdr:to>
      <xdr:col>17</xdr:col>
      <xdr:colOff>533400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8AF96-42EF-BFD1-4654-A99AC2AAC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175260</xdr:colOff>
      <xdr:row>16</xdr:row>
      <xdr:rowOff>137160</xdr:rowOff>
    </xdr:from>
    <xdr:to>
      <xdr:col>17</xdr:col>
      <xdr:colOff>480060</xdr:colOff>
      <xdr:row>31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F3343A-1AC0-433C-9A74-5A87DE764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a" refreshedDate="46099.683924305558" createdVersion="8" refreshedVersion="8" minRefreshableVersion="3" recordCount="9" xr:uid="{3CA6CA6F-2BCD-4D3F-88AE-9668D6B71F5E}">
  <cacheSource type="worksheet">
    <worksheetSource name="Table2"/>
  </cacheSource>
  <cacheFields count="10">
    <cacheField name="الاسم" numFmtId="0">
      <sharedItems/>
    </cacheField>
    <cacheField name="عربى " numFmtId="0">
      <sharedItems containsSemiMixedTypes="0" containsString="0" containsNumber="1" containsInteger="1" minValue="25" maxValue="50"/>
    </cacheField>
    <cacheField name="دين" numFmtId="0">
      <sharedItems containsSemiMixedTypes="0" containsString="0" containsNumber="1" containsInteger="1" minValue="20" maxValue="47"/>
    </cacheField>
    <cacheField name="علوم" numFmtId="0">
      <sharedItems containsSemiMixedTypes="0" containsString="0" containsNumber="1" containsInteger="1" minValue="15" maxValue="50"/>
    </cacheField>
    <cacheField name="تاريخ" numFmtId="0">
      <sharedItems containsSemiMixedTypes="0" containsString="0" containsNumber="1" containsInteger="1" minValue="25" maxValue="40"/>
    </cacheField>
    <cacheField name="جغرافيا " numFmtId="0">
      <sharedItems containsSemiMixedTypes="0" containsString="0" containsNumber="1" containsInteger="1" minValue="25" maxValue="40"/>
    </cacheField>
    <cacheField name="ادب" numFmtId="0">
      <sharedItems containsSemiMixedTypes="0" containsString="0" containsNumber="1" containsInteger="1" minValue="25" maxValue="50"/>
    </cacheField>
    <cacheField name="مجموع" numFmtId="0">
      <sharedItems containsSemiMixedTypes="0" containsString="0" containsNumber="1" containsInteger="1" minValue="65" maxValue="134"/>
    </cacheField>
    <cacheField name="نسب مئويه" numFmtId="9">
      <sharedItems containsSemiMixedTypes="0" containsString="0" containsNumber="1" minValue="0.65" maxValue="1.34"/>
    </cacheField>
    <cacheField name="التقدير" numFmtId="0">
      <sharedItems count="2">
        <s v="راسب"/>
        <s v="ناجح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ابراهيم يوسف"/>
    <n v="30"/>
    <n v="20"/>
    <n v="15"/>
    <n v="40"/>
    <n v="25"/>
    <n v="40"/>
    <n v="65"/>
    <n v="0.65"/>
    <x v="0"/>
  </r>
  <r>
    <s v="احمد محمود"/>
    <n v="35"/>
    <n v="30"/>
    <n v="30"/>
    <n v="35"/>
    <n v="30"/>
    <n v="40"/>
    <n v="95"/>
    <n v="0.95"/>
    <x v="0"/>
  </r>
  <r>
    <s v="بسنت احمد"/>
    <n v="40"/>
    <n v="35"/>
    <n v="37"/>
    <n v="40"/>
    <n v="33"/>
    <n v="45"/>
    <n v="112"/>
    <n v="1.1200000000000001"/>
    <x v="1"/>
  </r>
  <r>
    <s v="تيا يوسف"/>
    <n v="41"/>
    <n v="40"/>
    <n v="50"/>
    <n v="40"/>
    <n v="40"/>
    <n v="50"/>
    <n v="131"/>
    <n v="1.31"/>
    <x v="1"/>
  </r>
  <r>
    <s v="على محسن "/>
    <n v="45"/>
    <n v="45"/>
    <n v="33"/>
    <n v="30"/>
    <n v="30"/>
    <n v="47"/>
    <n v="123"/>
    <n v="1.23"/>
    <x v="1"/>
  </r>
  <r>
    <s v="كنزى بيشوى"/>
    <n v="25"/>
    <n v="35"/>
    <n v="43"/>
    <n v="33"/>
    <n v="27"/>
    <n v="25"/>
    <n v="103"/>
    <n v="1.03"/>
    <x v="1"/>
  </r>
  <r>
    <s v="مارينا ممدوح"/>
    <n v="27"/>
    <n v="25"/>
    <n v="44"/>
    <n v="25"/>
    <n v="28"/>
    <n v="30"/>
    <n v="96"/>
    <n v="0.96"/>
    <x v="0"/>
  </r>
  <r>
    <s v="مريم احمد"/>
    <n v="50"/>
    <n v="31"/>
    <n v="47"/>
    <n v="30"/>
    <n v="40"/>
    <n v="29"/>
    <n v="128"/>
    <n v="1.28"/>
    <x v="1"/>
  </r>
  <r>
    <s v="نور توفيق"/>
    <n v="47"/>
    <n v="47"/>
    <n v="40"/>
    <n v="35"/>
    <n v="35"/>
    <n v="37"/>
    <n v="134"/>
    <n v="1.3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4ADFC-4716-4DF5-90EC-6B7AFF6284ED}" name="PivotTable4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2">
    <i>
      <x/>
    </i>
    <i>
      <x v="1"/>
    </i>
  </rowItems>
  <colItems count="1">
    <i/>
  </colItems>
  <dataFields count="1">
    <dataField name="Count of التقدير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9F8CC-5241-4C3C-9989-1F472E4A9EA8}" name="Table2" displayName="Table2" ref="A2:J12" totalsRowCount="1" headerRowDxfId="21" dataDxfId="20">
  <autoFilter ref="A2:J11" xr:uid="{D669F8CC-5241-4C3C-9989-1F472E4A9E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3:J11">
    <sortCondition ref="A2:A11"/>
  </sortState>
  <tableColumns count="10">
    <tableColumn id="1" xr3:uid="{6F9E2A68-4BF6-442C-8A68-FB6F3A8FCA02}" name="الاسم" dataDxfId="19" totalsRowDxfId="18"/>
    <tableColumn id="2" xr3:uid="{77CA0330-4410-455C-AEE0-0618B199DAD0}" name="عربى " totalsRowFunction="count" dataDxfId="17" totalsRowDxfId="16"/>
    <tableColumn id="3" xr3:uid="{15805C76-A0EE-4A90-BFC9-718F6A8CE587}" name="دين" totalsRowFunction="count" dataDxfId="15" totalsRowDxfId="14"/>
    <tableColumn id="4" xr3:uid="{3CEC18EF-85C8-45A4-A985-28133965DB07}" name="علوم" totalsRowFunction="count" dataDxfId="13" totalsRowDxfId="12"/>
    <tableColumn id="5" xr3:uid="{33389E1C-4CE3-4A37-8C58-17B267AD5C3E}" name="تاريخ" totalsRowFunction="count" dataDxfId="11" totalsRowDxfId="10"/>
    <tableColumn id="6" xr3:uid="{91587EAC-4B7F-49D6-B2A1-63F96A091375}" name="جغرافيا " totalsRowFunction="count" dataDxfId="9" totalsRowDxfId="8"/>
    <tableColumn id="7" xr3:uid="{2315D5DB-17E5-4ED1-A1A1-C772E0D6EB1B}" name="ادب" totalsRowFunction="count" dataDxfId="7" totalsRowDxfId="6"/>
    <tableColumn id="8" xr3:uid="{92FBD1B2-4186-4EAC-8DDF-0335F1DCCB70}" name="مجموع" dataDxfId="5" totalsRowDxfId="4">
      <calculatedColumnFormula>Table2[[#This Row],[عربى ]]+Table2[[#This Row],[دين]]+Table2[[#This Row],[علوم]]</calculatedColumnFormula>
    </tableColumn>
    <tableColumn id="9" xr3:uid="{9F3A2EA6-298A-485B-B250-6392BA45469C}" name="نسب مئويه" dataDxfId="3" totalsRowDxfId="2">
      <calculatedColumnFormula>Table2[[#This Row],[مجموع]]/100</calculatedColumnFormula>
    </tableColumn>
    <tableColumn id="10" xr3:uid="{2EE50676-3AA6-4E9B-8A59-8F718C655912}" name="التقدير" dataDxfId="1" totalsRowDxfId="0">
      <calculatedColumnFormula>IF(Table2[[#This Row],[مجموع]]&gt;=100,"ناجح","راسب")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856D-E0C4-4074-8D81-7181ACBA9C51}">
  <dimension ref="A3:B5"/>
  <sheetViews>
    <sheetView topLeftCell="G1" workbookViewId="0">
      <selection activeCell="A3" sqref="A3"/>
    </sheetView>
  </sheetViews>
  <sheetFormatPr defaultRowHeight="14.4" x14ac:dyDescent="0.3"/>
  <cols>
    <col min="1" max="1" width="7.44140625" bestFit="1" customWidth="1"/>
    <col min="2" max="2" width="12.33203125" bestFit="1" customWidth="1"/>
  </cols>
  <sheetData>
    <row r="3" spans="1:2" x14ac:dyDescent="0.3">
      <c r="A3" s="3" t="s">
        <v>18</v>
      </c>
      <c r="B3" t="s">
        <v>21</v>
      </c>
    </row>
    <row r="4" spans="1:2" x14ac:dyDescent="0.3">
      <c r="A4" t="s">
        <v>19</v>
      </c>
      <c r="B4">
        <v>3</v>
      </c>
    </row>
    <row r="5" spans="1:2" x14ac:dyDescent="0.3">
      <c r="A5" t="s">
        <v>20</v>
      </c>
      <c r="B5">
        <v>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3391-A670-4323-8425-AA6C96709D2F}">
  <dimension ref="A1:J15"/>
  <sheetViews>
    <sheetView rightToLeft="1" tabSelected="1" workbookViewId="0">
      <selection activeCell="A18" sqref="A18"/>
    </sheetView>
  </sheetViews>
  <sheetFormatPr defaultRowHeight="14.4" x14ac:dyDescent="0.3"/>
  <cols>
    <col min="9" max="9" width="9.77734375" customWidth="1"/>
  </cols>
  <sheetData>
    <row r="1" spans="1:10" x14ac:dyDescent="0.3">
      <c r="A1" s="4" t="s">
        <v>22</v>
      </c>
      <c r="B1" s="5"/>
      <c r="C1" s="5"/>
      <c r="D1" s="5"/>
      <c r="E1" s="6" t="s">
        <v>23</v>
      </c>
      <c r="F1" s="6"/>
      <c r="G1" s="6"/>
      <c r="H1" s="5" t="s">
        <v>24</v>
      </c>
      <c r="I1" s="5"/>
      <c r="J1" s="5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11</v>
      </c>
      <c r="B3" s="1">
        <v>30</v>
      </c>
      <c r="C3" s="1">
        <v>20</v>
      </c>
      <c r="D3" s="1">
        <v>15</v>
      </c>
      <c r="E3" s="1">
        <v>40</v>
      </c>
      <c r="F3" s="1">
        <v>25</v>
      </c>
      <c r="G3" s="1">
        <v>40</v>
      </c>
      <c r="H3" s="1">
        <v>65</v>
      </c>
      <c r="I3" s="2">
        <f>Table2[[#This Row],[مجموع]]/100</f>
        <v>0.65</v>
      </c>
      <c r="J3" s="1" t="str">
        <f>IF(Table2[[#This Row],[مجموع]]&gt;=100,"ناجح","راسب")</f>
        <v>راسب</v>
      </c>
    </row>
    <row r="4" spans="1:10" x14ac:dyDescent="0.3">
      <c r="A4" s="1" t="s">
        <v>13</v>
      </c>
      <c r="B4" s="1">
        <v>35</v>
      </c>
      <c r="C4" s="1">
        <v>30</v>
      </c>
      <c r="D4" s="1">
        <v>30</v>
      </c>
      <c r="E4" s="1">
        <v>35</v>
      </c>
      <c r="F4" s="1">
        <v>30</v>
      </c>
      <c r="G4" s="1">
        <v>40</v>
      </c>
      <c r="H4" s="1">
        <f>Table2[[#This Row],[عربى ]]+Table2[[#This Row],[دين]]+Table2[[#This Row],[علوم]]</f>
        <v>95</v>
      </c>
      <c r="I4" s="2">
        <f>Table2[[#This Row],[مجموع]]/100</f>
        <v>0.95</v>
      </c>
      <c r="J4" s="1" t="str">
        <f>IF(Table2[[#This Row],[مجموع]]&gt;=100,"ناجح","راسب")</f>
        <v>راسب</v>
      </c>
    </row>
    <row r="5" spans="1:10" x14ac:dyDescent="0.3">
      <c r="A5" s="1" t="s">
        <v>10</v>
      </c>
      <c r="B5" s="1">
        <v>40</v>
      </c>
      <c r="C5" s="1">
        <v>35</v>
      </c>
      <c r="D5" s="1">
        <v>37</v>
      </c>
      <c r="E5" s="1">
        <v>40</v>
      </c>
      <c r="F5" s="1">
        <v>33</v>
      </c>
      <c r="G5" s="1">
        <v>45</v>
      </c>
      <c r="H5" s="1">
        <f>Table2[[#This Row],[عربى ]]+Table2[[#This Row],[دين]]+Table2[[#This Row],[علوم]]</f>
        <v>112</v>
      </c>
      <c r="I5" s="2">
        <f>Table2[[#This Row],[مجموع]]/100</f>
        <v>1.1200000000000001</v>
      </c>
      <c r="J5" s="1" t="str">
        <f>IF(Table2[[#This Row],[مجموع]]&gt;=100,"ناجح","راسب")</f>
        <v>ناجح</v>
      </c>
    </row>
    <row r="6" spans="1:10" x14ac:dyDescent="0.3">
      <c r="A6" s="1" t="s">
        <v>15</v>
      </c>
      <c r="B6" s="1">
        <v>41</v>
      </c>
      <c r="C6" s="1">
        <v>40</v>
      </c>
      <c r="D6" s="1">
        <v>50</v>
      </c>
      <c r="E6" s="1">
        <v>40</v>
      </c>
      <c r="F6" s="1">
        <v>40</v>
      </c>
      <c r="G6" s="1">
        <v>50</v>
      </c>
      <c r="H6" s="1">
        <f>Table2[[#This Row],[عربى ]]+Table2[[#This Row],[دين]]+Table2[[#This Row],[علوم]]</f>
        <v>131</v>
      </c>
      <c r="I6" s="2">
        <f>Table2[[#This Row],[مجموع]]/100</f>
        <v>1.31</v>
      </c>
      <c r="J6" s="1" t="str">
        <f>IF(Table2[[#This Row],[مجموع]]&gt;=100,"ناجح","راسب")</f>
        <v>ناجح</v>
      </c>
    </row>
    <row r="7" spans="1:10" x14ac:dyDescent="0.3">
      <c r="A7" s="1" t="s">
        <v>14</v>
      </c>
      <c r="B7" s="1">
        <v>45</v>
      </c>
      <c r="C7" s="1">
        <v>45</v>
      </c>
      <c r="D7" s="1">
        <v>33</v>
      </c>
      <c r="E7" s="1">
        <v>30</v>
      </c>
      <c r="F7" s="1">
        <v>30</v>
      </c>
      <c r="G7" s="1">
        <v>47</v>
      </c>
      <c r="H7" s="1">
        <f>Table2[[#This Row],[عربى ]]+Table2[[#This Row],[دين]]+Table2[[#This Row],[علوم]]</f>
        <v>123</v>
      </c>
      <c r="I7" s="2">
        <f>Table2[[#This Row],[مجموع]]/100</f>
        <v>1.23</v>
      </c>
      <c r="J7" s="1" t="str">
        <f>IF(Table2[[#This Row],[مجموع]]&gt;=100,"ناجح","راسب")</f>
        <v>ناجح</v>
      </c>
    </row>
    <row r="8" spans="1:10" x14ac:dyDescent="0.3">
      <c r="A8" s="1" t="s">
        <v>12</v>
      </c>
      <c r="B8" s="1">
        <v>25</v>
      </c>
      <c r="C8" s="1">
        <v>35</v>
      </c>
      <c r="D8" s="1">
        <v>43</v>
      </c>
      <c r="E8" s="1">
        <v>33</v>
      </c>
      <c r="F8" s="1">
        <v>27</v>
      </c>
      <c r="G8" s="1">
        <v>25</v>
      </c>
      <c r="H8" s="1">
        <f>Table2[[#This Row],[عربى ]]+Table2[[#This Row],[دين]]+Table2[[#This Row],[علوم]]</f>
        <v>103</v>
      </c>
      <c r="I8" s="2">
        <f>Table2[[#This Row],[مجموع]]/100</f>
        <v>1.03</v>
      </c>
      <c r="J8" s="1" t="str">
        <f>IF(Table2[[#This Row],[مجموع]]&gt;=100,"ناجح","راسب")</f>
        <v>ناجح</v>
      </c>
    </row>
    <row r="9" spans="1:10" x14ac:dyDescent="0.3">
      <c r="A9" s="1" t="s">
        <v>9</v>
      </c>
      <c r="B9" s="1">
        <v>27</v>
      </c>
      <c r="C9" s="1">
        <v>25</v>
      </c>
      <c r="D9" s="1">
        <v>44</v>
      </c>
      <c r="E9" s="1">
        <v>25</v>
      </c>
      <c r="F9" s="1">
        <v>28</v>
      </c>
      <c r="G9" s="1">
        <v>30</v>
      </c>
      <c r="H9" s="1">
        <f>Table2[[#This Row],[عربى ]]+Table2[[#This Row],[دين]]+Table2[[#This Row],[علوم]]</f>
        <v>96</v>
      </c>
      <c r="I9" s="2">
        <f>Table2[[#This Row],[مجموع]]/100</f>
        <v>0.96</v>
      </c>
      <c r="J9" s="1" t="str">
        <f>IF(Table2[[#This Row],[مجموع]]&gt;=100,"ناجح","راسب")</f>
        <v>راسب</v>
      </c>
    </row>
    <row r="10" spans="1:10" x14ac:dyDescent="0.3">
      <c r="A10" s="1" t="s">
        <v>7</v>
      </c>
      <c r="B10" s="1">
        <v>50</v>
      </c>
      <c r="C10" s="1">
        <v>31</v>
      </c>
      <c r="D10" s="1">
        <v>47</v>
      </c>
      <c r="E10" s="1">
        <v>30</v>
      </c>
      <c r="F10" s="1">
        <v>40</v>
      </c>
      <c r="G10" s="1">
        <v>29</v>
      </c>
      <c r="H10" s="1">
        <f>Table2[[#This Row],[عربى ]]+Table2[[#This Row],[دين]]+Table2[[#This Row],[علوم]]</f>
        <v>128</v>
      </c>
      <c r="I10" s="2">
        <f>Table2[[#This Row],[مجموع]]/100</f>
        <v>1.28</v>
      </c>
      <c r="J10" s="1" t="str">
        <f>IF(Table2[[#This Row],[مجموع]]&gt;=100,"ناجح","راسب")</f>
        <v>ناجح</v>
      </c>
    </row>
    <row r="11" spans="1:10" x14ac:dyDescent="0.3">
      <c r="A11" s="1" t="s">
        <v>8</v>
      </c>
      <c r="B11" s="1">
        <v>47</v>
      </c>
      <c r="C11" s="1">
        <v>47</v>
      </c>
      <c r="D11" s="1">
        <v>40</v>
      </c>
      <c r="E11" s="1">
        <v>35</v>
      </c>
      <c r="F11" s="1">
        <v>35</v>
      </c>
      <c r="G11" s="1">
        <v>37</v>
      </c>
      <c r="H11" s="1">
        <f>Table2[[#This Row],[عربى ]]+Table2[[#This Row],[دين]]+Table2[[#This Row],[علوم]]</f>
        <v>134</v>
      </c>
      <c r="I11" s="2">
        <f>Table2[[#This Row],[مجموع]]/100</f>
        <v>1.34</v>
      </c>
      <c r="J11" s="1" t="str">
        <f>IF(Table2[[#This Row],[مجموع]]&gt;=100,"ناجح","راسب")</f>
        <v>ناجح</v>
      </c>
    </row>
    <row r="12" spans="1:10" x14ac:dyDescent="0.3">
      <c r="A12" s="1"/>
      <c r="B12" s="1">
        <f>SUBTOTAL(103,Table2[[عربى ]])</f>
        <v>9</v>
      </c>
      <c r="C12" s="1">
        <f>SUBTOTAL(103,Table2[دين])</f>
        <v>9</v>
      </c>
      <c r="D12" s="1">
        <f>SUBTOTAL(103,Table2[علوم])</f>
        <v>9</v>
      </c>
      <c r="E12" s="1">
        <f>SUBTOTAL(103,Table2[تاريخ])</f>
        <v>9</v>
      </c>
      <c r="F12" s="1">
        <f>SUBTOTAL(103,Table2[[جغرافيا ]])</f>
        <v>9</v>
      </c>
      <c r="G12" s="1">
        <f>SUBTOTAL(103,Table2[ادب])</f>
        <v>9</v>
      </c>
      <c r="H12" s="1"/>
      <c r="I12" s="1"/>
      <c r="J12" s="1"/>
    </row>
    <row r="13" spans="1:10" x14ac:dyDescent="0.3">
      <c r="A13" s="1"/>
      <c r="B13" s="1">
        <f>SUBTOTAL(109,Table2[[عربى ]])</f>
        <v>340</v>
      </c>
      <c r="C13" s="1">
        <f>SUBTOTAL(109,Table2[دين])</f>
        <v>308</v>
      </c>
      <c r="D13" s="1">
        <f>SUBTOTAL(109,Table2[علوم])</f>
        <v>339</v>
      </c>
      <c r="E13" s="1">
        <f>SUBTOTAL(109,Table2[تاريخ])</f>
        <v>308</v>
      </c>
      <c r="F13" s="1">
        <f>SUBTOTAL(109,Table2[[جغرافيا ]])</f>
        <v>288</v>
      </c>
      <c r="G13" s="1">
        <f>SUBTOTAL(109,Table2[ادب])</f>
        <v>343</v>
      </c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B15" s="1"/>
    </row>
  </sheetData>
  <mergeCells count="3">
    <mergeCell ref="A1:D1"/>
    <mergeCell ref="E1:G1"/>
    <mergeCell ref="H1:J1"/>
  </mergeCells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es-Mina.Tawfik2026</dc:creator>
  <cp:lastModifiedBy>es-Mina.Tawfik2026</cp:lastModifiedBy>
  <cp:lastPrinted>2026-03-07T20:05:20Z</cp:lastPrinted>
  <dcterms:created xsi:type="dcterms:W3CDTF">2026-03-07T19:36:58Z</dcterms:created>
  <dcterms:modified xsi:type="dcterms:W3CDTF">2026-03-18T14:51:36Z</dcterms:modified>
</cp:coreProperties>
</file>